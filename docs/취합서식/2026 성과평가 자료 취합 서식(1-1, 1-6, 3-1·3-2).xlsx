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-1 주민제안사업 예산" sheetId="1" state="visible" r:id="rId3"/>
    <sheet name="1-6 기구 운영" sheetId="2" state="visible" r:id="rId4"/>
    <sheet name="3-1·3-2 교육" sheetId="3" state="visible" r:id="rId5"/>
  </sheets>
  <definedNames>
    <definedName function="false" hidden="false" localSheetId="0" name="_xlnm.Print_Titles" vbProcedure="false">'1-1 주민제안사업 예산'!$13:$13</definedName>
    <definedName function="false" hidden="false" localSheetId="1" name="_xlnm.Print_Titles" vbProcedure="false">'1-6 기구 운영'!$5:$5</definedName>
    <definedName function="false" hidden="false" localSheetId="2" name="_xlnm.Print_Titles" vbProcedure="false">'3-1·3-2 교육'!$5:$5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<sst xmlns="http://schemas.openxmlformats.org/spreadsheetml/2006/main" count="1620" uniqueCount="513">
  <si>
    <r>
      <rPr>
        <b val="true"/>
        <sz val="14"/>
        <color rgb="FF000000"/>
        <rFont val="맑은 고딕"/>
        <family val="0"/>
        <charset val="1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0"/>
        <charset val="1"/>
      </rPr>
      <t xml:space="preserve">1-1] </t>
    </r>
    <r>
      <rPr>
        <b val="true"/>
        <sz val="14"/>
        <color rgb="FF000000"/>
        <rFont val="WenQuanYi Zen Hei"/>
        <family val="2"/>
      </rPr>
      <t xml:space="preserve">주민제안사업 예산 비율 자료 취합</t>
    </r>
  </si>
  <si>
    <r>
      <rPr>
        <sz val="9"/>
        <color rgb="FF555555"/>
        <rFont val="WenQuanYi Zen Hei"/>
        <family val="2"/>
      </rPr>
      <t xml:space="preserve">평가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주민세 총액</t>
    </r>
    <r>
      <rPr>
        <sz val="9"/>
        <color rgb="FF555555"/>
        <rFont val="맑은 고딕"/>
        <family val="0"/>
        <charset val="1"/>
      </rPr>
      <t xml:space="preserve">('24</t>
    </r>
    <r>
      <rPr>
        <sz val="9"/>
        <color rgb="FF555555"/>
        <rFont val="WenQuanYi Zen Hei"/>
        <family val="2"/>
      </rPr>
      <t xml:space="preserve">년 징수액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대비 주민제안사업 예산 비율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군 유형 </t>
    </r>
    <r>
      <rPr>
        <sz val="9"/>
        <color rgb="FF555555"/>
        <rFont val="맑은 고딕"/>
        <family val="0"/>
        <charset val="1"/>
      </rPr>
      <t xml:space="preserve">5</t>
    </r>
    <r>
      <rPr>
        <sz val="9"/>
        <color rgb="FF555555"/>
        <rFont val="WenQuanYi Zen Hei"/>
        <family val="2"/>
      </rPr>
      <t xml:space="preserve">등급 상대평가</t>
    </r>
    <r>
      <rPr>
        <sz val="9"/>
        <color rgb="FF555555"/>
        <rFont val="맑은 고딕"/>
        <family val="0"/>
        <charset val="1"/>
      </rPr>
      <t xml:space="preserve">(8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0"/>
        <charset val="1"/>
      </rPr>
      <t xml:space="preserve">). '26 </t>
    </r>
    <r>
      <rPr>
        <sz val="9"/>
        <color rgb="FF555555"/>
        <rFont val="WenQuanYi Zen Hei"/>
        <family val="2"/>
      </rPr>
      <t xml:space="preserve">예산이 </t>
    </r>
    <r>
      <rPr>
        <sz val="9"/>
        <color rgb="FF555555"/>
        <rFont val="맑은 고딕"/>
        <family val="0"/>
        <charset val="1"/>
      </rPr>
      <t xml:space="preserve">'25</t>
    </r>
    <r>
      <rPr>
        <sz val="9"/>
        <color rgb="FF555555"/>
        <rFont val="WenQuanYi Zen Hei"/>
        <family val="2"/>
      </rPr>
      <t xml:space="preserve">보다 줄면 </t>
    </r>
    <r>
      <rPr>
        <sz val="9"/>
        <color rgb="FF555555"/>
        <rFont val="맑은 고딕"/>
        <family val="0"/>
        <charset val="1"/>
      </rPr>
      <t xml:space="preserve">0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0"/>
        <charset val="1"/>
      </rPr>
      <t xml:space="preserve">.
</t>
    </r>
    <r>
      <rPr>
        <sz val="9"/>
        <color rgb="FF555555"/>
        <rFont val="WenQuanYi Zen Hei"/>
        <family val="2"/>
      </rPr>
      <t xml:space="preserve">작성기준</t>
    </r>
    <r>
      <rPr>
        <sz val="9"/>
        <color rgb="FF555555"/>
        <rFont val="맑은 고딕"/>
        <family val="0"/>
        <charset val="1"/>
      </rPr>
      <t xml:space="preserve">: '26·'25</t>
    </r>
    <r>
      <rPr>
        <sz val="9"/>
        <color rgb="FF555555"/>
        <rFont val="WenQuanYi Zen Hei"/>
        <family val="2"/>
      </rPr>
      <t xml:space="preserve">에 편성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본예산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추경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된 주민제안사업 전부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천원 단위 반올림</t>
    </r>
    <r>
      <rPr>
        <sz val="9"/>
        <color rgb="FF555555"/>
        <rFont val="맑은 고딕"/>
        <family val="0"/>
        <charset val="1"/>
      </rPr>
      <t xml:space="preserve">. '26 </t>
    </r>
    <r>
      <rPr>
        <sz val="9"/>
        <color rgb="FF555555"/>
        <rFont val="WenQuanYi Zen Hei"/>
        <family val="2"/>
      </rPr>
      <t xml:space="preserve">공모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선정 후 </t>
    </r>
    <r>
      <rPr>
        <sz val="9"/>
        <color rgb="FF555555"/>
        <rFont val="맑은 고딕"/>
        <family val="0"/>
        <charset val="1"/>
      </rPr>
      <t xml:space="preserve">'27 </t>
    </r>
    <r>
      <rPr>
        <sz val="9"/>
        <color rgb="FF555555"/>
        <rFont val="WenQuanYi Zen Hei"/>
        <family val="2"/>
      </rPr>
      <t xml:space="preserve">본예산 편성 예정 사업은 제외</t>
    </r>
    <r>
      <rPr>
        <sz val="9"/>
        <color rgb="FF555555"/>
        <rFont val="맑은 고딕"/>
        <family val="0"/>
        <charset val="1"/>
      </rPr>
      <t xml:space="preserve">.
</t>
    </r>
    <r>
      <rPr>
        <sz val="9"/>
        <color rgb="FF555555"/>
        <rFont val="WenQuanYi Zen Hei"/>
        <family val="2"/>
      </rPr>
      <t xml:space="preserve">증빙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사업명과 편성액이 확인되는 공식자료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내부 결재문서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홈페이지 공개자료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예산서 부기내역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주민세는 표준지방세정보시스템 </t>
    </r>
    <r>
      <rPr>
        <sz val="9"/>
        <color rgb="FF555555"/>
        <rFont val="맑은 고딕"/>
        <family val="0"/>
        <charset val="1"/>
      </rPr>
      <t xml:space="preserve">7202 </t>
    </r>
    <r>
      <rPr>
        <sz val="9"/>
        <color rgb="FF555555"/>
        <rFont val="WenQuanYi Zen Hei"/>
        <family val="2"/>
      </rPr>
      <t xml:space="preserve">화면 캡처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</si>
  <si>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000000"/>
        <rFont val="WenQuanYi Zen Hei"/>
        <family val="2"/>
      </rPr>
      <t xml:space="preserve">작성부서</t>
    </r>
    <r>
      <rPr>
        <sz val="9"/>
        <color rgb="FF000000"/>
        <rFont val="맑은 고딕"/>
        <family val="0"/>
        <charset val="1"/>
      </rPr>
      <t xml:space="preserve">:                    </t>
    </r>
    <r>
      <rPr>
        <sz val="9"/>
        <color rgb="FF000000"/>
        <rFont val="WenQuanYi Zen Hei"/>
        <family val="2"/>
      </rPr>
      <t xml:space="preserve">작성자</t>
    </r>
    <r>
      <rPr>
        <sz val="9"/>
        <color rgb="FF000000"/>
        <rFont val="맑은 고딕"/>
        <family val="0"/>
        <charset val="1"/>
      </rPr>
      <t xml:space="preserve">:                    </t>
    </r>
    <r>
      <rPr>
        <sz val="9"/>
        <color rgb="FF000000"/>
        <rFont val="WenQuanYi Zen Hei"/>
        <family val="2"/>
      </rPr>
      <t xml:space="preserve">연락처</t>
    </r>
    <r>
      <rPr>
        <sz val="9"/>
        <color rgb="FF000000"/>
        <rFont val="맑은 고딕"/>
        <family val="0"/>
        <charset val="1"/>
      </rPr>
      <t xml:space="preserve">:                    ※ </t>
    </r>
    <r>
      <rPr>
        <sz val="9"/>
        <color rgb="FF000000"/>
        <rFont val="WenQuanYi Zen Hei"/>
        <family val="2"/>
      </rPr>
      <t xml:space="preserve">노란 칸만 입력 </t>
    </r>
    <r>
      <rPr>
        <sz val="9"/>
        <color rgb="FF000000"/>
        <rFont val="맑은 고딕"/>
        <family val="0"/>
        <charset val="1"/>
      </rPr>
      <t xml:space="preserve">· </t>
    </r>
    <r>
      <rPr>
        <sz val="9"/>
        <color rgb="FF000000"/>
        <rFont val="WenQuanYi Zen Hei"/>
        <family val="2"/>
      </rPr>
      <t xml:space="preserve">회색 칸은 자동 계산 </t>
    </r>
    <r>
      <rPr>
        <sz val="9"/>
        <color rgb="FF000000"/>
        <rFont val="맑은 고딕"/>
        <family val="0"/>
        <charset val="1"/>
      </rPr>
      <t xml:space="preserve">· </t>
    </r>
    <r>
      <rPr>
        <sz val="9"/>
        <color rgb="FF000000"/>
        <rFont val="WenQuanYi Zen Hei"/>
        <family val="2"/>
      </rPr>
      <t xml:space="preserve">회색 기울임 글씨 행은 예시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지우고 작성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</si>
  <si>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</si>
  <si>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000000"/>
        <rFont val="WenQuanYi Zen Hei"/>
        <family val="2"/>
      </rPr>
      <t xml:space="preserve">금액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천원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</si>
  <si>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비고</t>
  </si>
  <si>
    <r>
      <rPr>
        <b val="true"/>
        <sz val="10"/>
        <color rgb="FF000000"/>
        <rFont val="맑은 고딕"/>
        <family val="0"/>
        <charset val="1"/>
      </rPr>
      <t xml:space="preserve">'24</t>
    </r>
    <r>
      <rPr>
        <b val="true"/>
        <sz val="10"/>
        <color rgb="FF000000"/>
        <rFont val="WenQuanYi Zen Hei"/>
        <family val="2"/>
      </rPr>
      <t xml:space="preserve">년 주민세 총액 </t>
    </r>
    <r>
      <rPr>
        <b val="true"/>
        <sz val="10"/>
        <color rgb="FF000000"/>
        <rFont val="맑은 고딕"/>
        <family val="0"/>
        <charset val="1"/>
      </rPr>
      <t xml:space="preserve">(A)</t>
    </r>
  </si>
  <si>
    <r>
      <rPr>
        <sz val="9"/>
        <color rgb="FF555555"/>
        <rFont val="WenQuanYi Zen Hei"/>
        <family val="2"/>
      </rPr>
      <t xml:space="preserve">표준지방세정보시스템 </t>
    </r>
    <r>
      <rPr>
        <sz val="9"/>
        <color rgb="FF555555"/>
        <rFont val="맑은 고딕"/>
        <family val="0"/>
        <charset val="1"/>
      </rPr>
      <t xml:space="preserve">&gt; </t>
    </r>
    <r>
      <rPr>
        <sz val="9"/>
        <color rgb="FF555555"/>
        <rFont val="WenQuanYi Zen Hei"/>
        <family val="2"/>
      </rPr>
      <t xml:space="preserve">통계 </t>
    </r>
    <r>
      <rPr>
        <sz val="9"/>
        <color rgb="FF555555"/>
        <rFont val="맑은 고딕"/>
        <family val="0"/>
        <charset val="1"/>
      </rPr>
      <t xml:space="preserve">&gt; </t>
    </r>
    <r>
      <rPr>
        <sz val="9"/>
        <color rgb="FF555555"/>
        <rFont val="WenQuanYi Zen Hei"/>
        <family val="2"/>
      </rPr>
      <t xml:space="preserve">통계연감 </t>
    </r>
    <r>
      <rPr>
        <sz val="9"/>
        <color rgb="FF555555"/>
        <rFont val="맑은 고딕"/>
        <family val="0"/>
        <charset val="1"/>
      </rPr>
      <t xml:space="preserve">&gt; 7200</t>
    </r>
    <r>
      <rPr>
        <sz val="9"/>
        <color rgb="FF555555"/>
        <rFont val="WenQuanYi Zen Hei"/>
        <family val="2"/>
      </rPr>
      <t xml:space="preserve">주민세 </t>
    </r>
    <r>
      <rPr>
        <sz val="9"/>
        <color rgb="FF555555"/>
        <rFont val="맑은 고딕"/>
        <family val="0"/>
        <charset val="1"/>
      </rPr>
      <t xml:space="preserve">&gt; 7202 </t>
    </r>
    <r>
      <rPr>
        <sz val="9"/>
        <color rgb="FF555555"/>
        <rFont val="WenQuanYi Zen Hei"/>
        <family val="2"/>
      </rPr>
      <t xml:space="preserve">주민세징수상황총괄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징수액</t>
    </r>
    <r>
      <rPr>
        <sz val="9"/>
        <color rgb="FF555555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</si>
  <si>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'26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0"/>
        <charset val="1"/>
      </rPr>
      <t xml:space="preserve">(B)</t>
    </r>
  </si>
  <si>
    <r>
      <rPr>
        <sz val="9"/>
        <color rgb="FF555555"/>
        <rFont val="WenQuanYi Zen Hei"/>
        <family val="2"/>
      </rPr>
      <t xml:space="preserve">아래 목록 중 연도 </t>
    </r>
    <r>
      <rPr>
        <sz val="9"/>
        <color rgb="FF555555"/>
        <rFont val="맑은 고딕"/>
        <family val="0"/>
        <charset val="1"/>
      </rPr>
      <t xml:space="preserve">2026, 1-1 </t>
    </r>
    <r>
      <rPr>
        <sz val="9"/>
        <color rgb="FF555555"/>
        <rFont val="WenQuanYi Zen Hei"/>
        <family val="2"/>
      </rPr>
      <t xml:space="preserve">반영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포함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합계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예시 행 제외</t>
    </r>
    <r>
      <rPr>
        <sz val="9"/>
        <color rgb="FF555555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</si>
  <si>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'25</t>
    </r>
    <r>
      <rPr>
        <b val="true"/>
        <sz val="10"/>
        <color rgb="FF000000"/>
        <rFont val="WenQuanYi Zen Hei"/>
        <family val="2"/>
      </rPr>
      <t xml:space="preserve">년 주민제안사업 예산 </t>
    </r>
    <r>
      <rPr>
        <b val="true"/>
        <sz val="10"/>
        <color rgb="FF000000"/>
        <rFont val="맑은 고딕"/>
        <family val="0"/>
        <charset val="1"/>
      </rPr>
      <t xml:space="preserve">(C)</t>
    </r>
  </si>
  <si>
    <r>
      <rPr>
        <sz val="9"/>
        <color rgb="FF555555"/>
        <rFont val="WenQuanYi Zen Hei"/>
        <family val="2"/>
      </rPr>
      <t xml:space="preserve">아래 목록 중 연도 </t>
    </r>
    <r>
      <rPr>
        <sz val="9"/>
        <color rgb="FF555555"/>
        <rFont val="맑은 고딕"/>
        <family val="0"/>
        <charset val="1"/>
      </rPr>
      <t xml:space="preserve">2025, 1-1 </t>
    </r>
    <r>
      <rPr>
        <sz val="9"/>
        <color rgb="FF555555"/>
        <rFont val="WenQuanYi Zen Hei"/>
        <family val="2"/>
      </rPr>
      <t xml:space="preserve">반영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포함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합계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예시 행 제외</t>
    </r>
    <r>
      <rPr>
        <sz val="9"/>
        <color rgb="FF555555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</si>
  <si>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증감액 </t>
    </r>
    <r>
      <rPr>
        <b val="true"/>
        <sz val="10"/>
        <color rgb="FF000000"/>
        <rFont val="맑은 고딕"/>
        <family val="0"/>
        <charset val="1"/>
      </rPr>
      <t xml:space="preserve">(B-C)</t>
    </r>
  </si>
  <si>
    <r>
      <rPr>
        <sz val="9"/>
        <color rgb="FF555555"/>
        <rFont val="WenQuanYi Zen Hei"/>
        <family val="2"/>
      </rPr>
      <t xml:space="preserve">음수면 </t>
    </r>
    <r>
      <rPr>
        <sz val="9"/>
        <color rgb="FF555555"/>
        <rFont val="맑은 고딕"/>
        <family val="0"/>
        <charset val="1"/>
      </rPr>
      <t xml:space="preserve">0</t>
    </r>
    <r>
      <rPr>
        <sz val="9"/>
        <color rgb="FF555555"/>
        <rFont val="WenQuanYi Zen Hei"/>
        <family val="2"/>
      </rPr>
      <t xml:space="preserve">점</t>
    </r>
  </si>
  <si>
    <r>
      <rPr>
        <b val="true"/>
        <sz val="10"/>
        <color rgb="FF000000"/>
        <rFont val="WenQuanYi Zen Hei"/>
        <family val="2"/>
      </rPr>
      <t xml:space="preserve">주민제안사업 예산 비율 </t>
    </r>
    <r>
      <rPr>
        <b val="true"/>
        <sz val="10"/>
        <color rgb="FF000000"/>
        <rFont val="맑은 고딕"/>
        <family val="0"/>
        <charset val="1"/>
      </rPr>
      <t xml:space="preserve">(B/A)</t>
    </r>
  </si>
  <si>
    <r>
      <rPr>
        <sz val="9"/>
        <color rgb="FF555555"/>
        <rFont val="맑은 고딕"/>
        <family val="0"/>
        <charset val="1"/>
      </rPr>
      <t xml:space="preserve">e</t>
    </r>
    <r>
      <rPr>
        <sz val="9"/>
        <color rgb="FF555555"/>
        <rFont val="WenQuanYi Zen Hei"/>
        <family val="2"/>
      </rPr>
      <t xml:space="preserve">호조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제출 화면에 </t>
    </r>
    <r>
      <rPr>
        <sz val="9"/>
        <color rgb="FF555555"/>
        <rFont val="맑은 고딕"/>
        <family val="0"/>
        <charset val="1"/>
      </rPr>
      <t xml:space="preserve">A·B·C </t>
    </r>
    <r>
      <rPr>
        <sz val="9"/>
        <color rgb="FF555555"/>
        <rFont val="WenQuanYi Zen Hei"/>
        <family val="2"/>
      </rPr>
      <t xml:space="preserve">입력 시 자동 계산</t>
    </r>
  </si>
  <si>
    <r>
      <rPr>
        <b val="true"/>
        <sz val="11"/>
        <color rgb="FF000000"/>
        <rFont val="WenQuanYi Zen Hei"/>
        <family val="2"/>
      </rPr>
      <t xml:space="preserve">■ 주민제안사업 목록 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연도별로 모두 기재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</si>
  <si>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연번</t>
  </si>
  <si>
    <t xml:space="preserve">연도</t>
  </si>
  <si>
    <t xml:space="preserve">유형</t>
  </si>
  <si>
    <t xml:space="preserve">읍면</t>
  </si>
  <si>
    <t xml:space="preserve">사업명</t>
  </si>
  <si>
    <t xml:space="preserve">소관부서</t>
  </si>
  <si>
    <t xml:space="preserve">편성구분</t>
  </si>
  <si>
    <r>
      <rPr>
        <b val="true"/>
        <sz val="10"/>
        <color rgb="FF000000"/>
        <rFont val="WenQuanYi Zen Hei"/>
        <family val="2"/>
      </rPr>
      <t xml:space="preserve">편성액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천원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</si>
  <si>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1-1 </t>
    </r>
    <r>
      <rPr>
        <b val="true"/>
        <sz val="10"/>
        <color rgb="FF000000"/>
        <rFont val="WenQuanYi Zen Hei"/>
        <family val="2"/>
      </rPr>
      <t xml:space="preserve">반영</t>
    </r>
  </si>
  <si>
    <r>
      <rPr>
        <b val="true"/>
        <sz val="10"/>
        <color rgb="FF000000"/>
        <rFont val="WenQuanYi Zen Hei"/>
        <family val="2"/>
      </rPr>
      <t xml:space="preserve">증빙자료 </t>
    </r>
    <r>
      <rPr>
        <b val="true"/>
        <sz val="10"/>
        <color rgb="FF000000"/>
        <rFont val="맑은 고딕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</si>
  <si>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t xml:space="preserve">예시</t>
  </si>
  <si>
    <t xml:space="preserve">2026</t>
  </si>
  <si>
    <t xml:space="preserve">지역회의형</t>
  </si>
  <si>
    <t xml:space="preserve">옥천읍</t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</si>
  <si>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○○</t>
    </r>
    <r>
      <rPr>
        <i val="true"/>
        <sz val="10"/>
        <color rgb="FF808080"/>
        <rFont val="WenQuanYi Zen Hei"/>
        <family val="2"/>
      </rPr>
      <t xml:space="preserve">리 마을안길 정비</t>
    </r>
  </si>
  <si>
    <t xml:space="preserve">건설과</t>
  </si>
  <si>
    <t xml:space="preserve">본예산</t>
  </si>
  <si>
    <t xml:space="preserve">포함</t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</si>
  <si>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'26 </t>
    </r>
    <r>
      <rPr>
        <i val="true"/>
        <sz val="10"/>
        <color rgb="FF808080"/>
        <rFont val="WenQuanYi Zen Hei"/>
        <family val="2"/>
      </rPr>
      <t xml:space="preserve">예산서 부기내역 </t>
    </r>
    <r>
      <rPr>
        <i val="true"/>
        <sz val="10"/>
        <color rgb="FF808080"/>
        <rFont val="맑은 고딕"/>
        <family val="0"/>
        <charset val="1"/>
      </rPr>
      <t xml:space="preserve">p.000</t>
    </r>
  </si>
  <si>
    <t xml:space="preserve">주민자치회형</t>
  </si>
  <si>
    <t xml:space="preserve">동이면</t>
  </si>
  <si>
    <r>
      <rPr>
        <sz val="10"/>
        <color rgb="FF000000"/>
        <rFont val="WenQuanYi Zen Hei"/>
        <family val="2"/>
      </rPr>
      <t xml:space="preserve">유채꽃축제 및 스마트폰 사진공모전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</si>
  <si>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행정과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</si>
  <si>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</si>
  <si>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안남면</t>
  </si>
  <si>
    <r>
      <rPr>
        <sz val="10"/>
        <color rgb="FF000000"/>
        <rFont val="WenQuanYi Zen Hei"/>
        <family val="2"/>
      </rPr>
      <t xml:space="preserve">주민 디지털교육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</si>
  <si>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</si>
  <si>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안내면</t>
  </si>
  <si>
    <r>
      <rPr>
        <sz val="10"/>
        <color rgb="FF000000"/>
        <rFont val="WenQuanYi Zen Hei"/>
        <family val="2"/>
      </rPr>
      <t xml:space="preserve">환경보호단 운영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</si>
  <si>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</si>
  <si>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청성면</t>
  </si>
  <si>
    <r>
      <rPr>
        <sz val="10"/>
        <color rgb="FF000000"/>
        <rFont val="WenQuanYi Zen Hei"/>
        <family val="2"/>
      </rPr>
      <t xml:space="preserve">청성면 산성 역사 교실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</si>
  <si>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</si>
  <si>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청산면</t>
  </si>
  <si>
    <r>
      <rPr>
        <sz val="10"/>
        <color rgb="FF000000"/>
        <rFont val="WenQuanYi Zen Hei"/>
        <family val="2"/>
      </rPr>
      <t xml:space="preserve">청산면 짝짜꿍 인형극단 만들기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</si>
  <si>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</si>
  <si>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이원면</t>
  </si>
  <si>
    <r>
      <rPr>
        <sz val="10"/>
        <color rgb="FF000000"/>
        <rFont val="WenQuanYi Zen Hei"/>
        <family val="2"/>
      </rPr>
      <t xml:space="preserve">반려식물키우기 교육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</si>
  <si>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</si>
  <si>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군서면</t>
  </si>
  <si>
    <r>
      <rPr>
        <sz val="10"/>
        <color rgb="FF000000"/>
        <rFont val="WenQuanYi Zen Hei"/>
        <family val="2"/>
      </rPr>
      <t xml:space="preserve">군서면민 홈페이지 및 웹 운영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</si>
  <si>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</si>
  <si>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WenQuanYi Zen Hei"/>
        <family val="2"/>
      </rPr>
      <t xml:space="preserve">세대공감 노리캠프 캠크닉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</si>
  <si>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</si>
  <si>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군북면</t>
  </si>
  <si>
    <r>
      <rPr>
        <sz val="10"/>
        <color rgb="FF000000"/>
        <rFont val="WenQuanYi Zen Hei"/>
        <family val="2"/>
      </rPr>
      <t xml:space="preserve">한마음 걷기대회 행사지원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</si>
  <si>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1556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</si>
  <si>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t xml:space="preserve">옥천향수장터 행사 운영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</si>
  <si>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7794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</si>
  <si>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행사 운영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</si>
  <si>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7795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</si>
  <si>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 행사 운영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</si>
  <si>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7796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</si>
  <si>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지역 명소만들기 조형물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</si>
  <si>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7797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</si>
  <si>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무지개 꽃길 조성사업 급수시설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</si>
  <si>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7798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</si>
  <si>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하계리 세천정비공사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</si>
  <si>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</si>
  <si>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동안리 농로정비공사</t>
    </r>
    <r>
      <rPr>
        <sz val="10"/>
        <color rgb="FF000000"/>
        <rFont val="맑은 고딕"/>
        <family val="0"/>
        <charset val="1"/>
      </rPr>
      <t xml:space="preserve">(L=250m)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</si>
  <si>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</si>
  <si>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오대리 마을안길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</si>
  <si>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</si>
  <si>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가풍리 농로 및 배수로정비공사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</si>
  <si>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</si>
  <si>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상삼리 세천정비공사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</si>
  <si>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</si>
  <si>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마항리 농로정비공사</t>
    </r>
    <r>
      <rPr>
        <sz val="10"/>
        <color rgb="FF000000"/>
        <rFont val="맑은 고딕"/>
        <family val="0"/>
        <charset val="1"/>
      </rPr>
      <t xml:space="preserve">(A=2,000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</si>
  <si>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</si>
  <si>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양수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배수로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</si>
  <si>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7874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</si>
  <si>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소외계층 김치나눔행사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</si>
  <si>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7941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</si>
  <si>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아트벤치 및 유채꽃밭 경관조성 자재 구입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</si>
  <si>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7942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</si>
  <si>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동이면행정복지센터 주변 감국길조성사업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</si>
  <si>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7943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</si>
  <si>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거리마다 사시사철 노란꽃과 나무 가꾸기사업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</si>
  <si>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7944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</si>
  <si>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평촌리 마을안길 및 배수로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</si>
  <si>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</si>
  <si>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소도리 마을진입로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</si>
  <si>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</si>
  <si>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석화리 농로 및 배수로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</si>
  <si>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</si>
  <si>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금암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 및 배수로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</si>
  <si>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</si>
  <si>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조령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마을안길 정비공사</t>
    </r>
    <r>
      <rPr>
        <sz val="10"/>
        <color rgb="FF000000"/>
        <rFont val="맑은 고딕"/>
        <family val="0"/>
        <charset val="1"/>
      </rPr>
      <t xml:space="preserve">(L=250m)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</si>
  <si>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</si>
  <si>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마티리 농로 및 세천정비공사</t>
    </r>
    <r>
      <rPr>
        <sz val="10"/>
        <color rgb="FF000000"/>
        <rFont val="맑은 고딕"/>
        <family val="0"/>
        <charset val="1"/>
      </rPr>
      <t xml:space="preserve">(L=80m)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</si>
  <si>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</si>
  <si>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가덕리 배수로 정비공사</t>
    </r>
    <r>
      <rPr>
        <sz val="10"/>
        <color rgb="FF000000"/>
        <rFont val="맑은 고딕"/>
        <family val="0"/>
        <charset val="1"/>
      </rPr>
      <t xml:space="preserve">(L=130m)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</si>
  <si>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</si>
  <si>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석탄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</si>
  <si>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</si>
  <si>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도로가로등 설치 공사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</si>
  <si>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8073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</si>
  <si>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종미리 리도 </t>
    </r>
    <r>
      <rPr>
        <sz val="10"/>
        <color rgb="FF000000"/>
        <rFont val="맑은 고딕"/>
        <family val="0"/>
        <charset val="1"/>
      </rPr>
      <t xml:space="preserve">201</t>
    </r>
    <r>
      <rPr>
        <sz val="10"/>
        <color rgb="FF000000"/>
        <rFont val="WenQuanYi Zen Hei"/>
        <family val="2"/>
      </rPr>
      <t xml:space="preserve">호선 아스콘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</si>
  <si>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8141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</si>
  <si>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지수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 정비공사</t>
    </r>
    <r>
      <rPr>
        <sz val="10"/>
        <color rgb="FF000000"/>
        <rFont val="맑은 고딕"/>
        <family val="0"/>
        <charset val="1"/>
      </rPr>
      <t xml:space="preserve">(L=120m)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</si>
  <si>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8142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</si>
  <si>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지수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잔다리천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</si>
  <si>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8143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</si>
  <si>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청정리 농로 정비공사</t>
    </r>
    <r>
      <rPr>
        <sz val="10"/>
        <color rgb="FF000000"/>
        <rFont val="맑은 고딕"/>
        <family val="0"/>
        <charset val="1"/>
      </rPr>
      <t xml:space="preserve">(L=140m)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</si>
  <si>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8144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</si>
  <si>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화학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구거정비공사</t>
    </r>
    <r>
      <rPr>
        <sz val="10"/>
        <color rgb="FF000000"/>
        <rFont val="맑은 고딕"/>
        <family val="0"/>
        <charset val="1"/>
      </rPr>
      <t xml:space="preserve">(L=35m)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</si>
  <si>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8145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</si>
  <si>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안옥자 공원 조성 캐릭터 공모전 홍보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</si>
  <si>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8199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</si>
  <si>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심사위원 수당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</si>
  <si>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</si>
  <si>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습지공원 작은음악회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</si>
  <si>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</si>
  <si>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안옥자 공원 조성 캐릭터 공모전 선정작 시상금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</si>
  <si>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일반보전금</t>
    </r>
  </si>
  <si>
    <t xml:space="preserve">안옥자 공원 정비 공사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</si>
  <si>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</si>
  <si>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정곡리 농로 사면 정비공사</t>
    </r>
    <r>
      <rPr>
        <sz val="10"/>
        <color rgb="FF000000"/>
        <rFont val="맑은 고딕"/>
        <family val="0"/>
        <charset val="1"/>
      </rPr>
      <t xml:space="preserve">(L=20m)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</si>
  <si>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</si>
  <si>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북대리 농로 정비공사</t>
    </r>
    <r>
      <rPr>
        <sz val="10"/>
        <color rgb="FF000000"/>
        <rFont val="맑은 고딕"/>
        <family val="0"/>
        <charset val="1"/>
      </rPr>
      <t xml:space="preserve">(L=500m)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</si>
  <si>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</si>
  <si>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서대리 광장 포장공사</t>
    </r>
    <r>
      <rPr>
        <sz val="10"/>
        <color rgb="FF000000"/>
        <rFont val="맑은 고딕"/>
        <family val="0"/>
        <charset val="1"/>
      </rPr>
      <t xml:space="preserve">(A=300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</si>
  <si>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</si>
  <si>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도이리 농로 정비공사</t>
    </r>
    <r>
      <rPr>
        <sz val="10"/>
        <color rgb="FF000000"/>
        <rFont val="맑은 고딕"/>
        <family val="0"/>
        <charset val="1"/>
      </rPr>
      <t xml:space="preserve">(L=20m)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</si>
  <si>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</si>
  <si>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현리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농로확포장공사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</si>
  <si>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</si>
  <si>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현리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농로확포장공사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</si>
  <si>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</si>
  <si>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월외리 농로 및 마을안길 정비공사</t>
    </r>
    <r>
      <rPr>
        <sz val="10"/>
        <color rgb="FF000000"/>
        <rFont val="맑은 고딕"/>
        <family val="0"/>
        <charset val="1"/>
      </rPr>
      <t xml:space="preserve">(L=140m)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</si>
  <si>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</si>
  <si>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용촌리 배수로 정비공사</t>
    </r>
    <r>
      <rPr>
        <sz val="10"/>
        <color rgb="FF000000"/>
        <rFont val="맑은 고딕"/>
        <family val="0"/>
        <charset val="1"/>
      </rPr>
      <t xml:space="preserve">(L=40m)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</si>
  <si>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</si>
  <si>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도촌리 배수로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</si>
  <si>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8273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</si>
  <si>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청성면 다목적광장 조형물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</si>
  <si>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</si>
  <si>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산계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광장 정비공사</t>
    </r>
    <r>
      <rPr>
        <sz val="10"/>
        <color rgb="FF000000"/>
        <rFont val="맑은 고딕"/>
        <family val="0"/>
        <charset val="1"/>
      </rPr>
      <t xml:space="preserve">(A=500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</si>
  <si>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</si>
  <si>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산계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 확포장공사</t>
    </r>
    <r>
      <rPr>
        <sz val="10"/>
        <color rgb="FF000000"/>
        <rFont val="맑은 고딕"/>
        <family val="0"/>
        <charset val="1"/>
      </rPr>
      <t xml:space="preserve">(L=45m)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</si>
  <si>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</si>
  <si>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산계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리 세천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</si>
  <si>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</si>
  <si>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거포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세천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</si>
  <si>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</si>
  <si>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만명리 마을안길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</si>
  <si>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</si>
  <si>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궁촌리 광장 및 교량 정비공사</t>
    </r>
    <r>
      <rPr>
        <sz val="10"/>
        <color rgb="FF000000"/>
        <rFont val="맑은 고딕"/>
        <family val="0"/>
        <charset val="1"/>
      </rPr>
      <t xml:space="preserve">(A=150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</si>
  <si>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</si>
  <si>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소서리 광장 정비공사</t>
    </r>
    <r>
      <rPr>
        <sz val="10"/>
        <color rgb="FF000000"/>
        <rFont val="맑은 고딕"/>
        <family val="0"/>
        <charset val="1"/>
      </rPr>
      <t xml:space="preserve">(A=400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</si>
  <si>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</si>
  <si>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삼남리 배수로 정비공사</t>
    </r>
    <r>
      <rPr>
        <sz val="10"/>
        <color rgb="FF000000"/>
        <rFont val="맑은 고딕"/>
        <family val="0"/>
        <charset val="1"/>
      </rPr>
      <t xml:space="preserve">(L=10m)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</si>
  <si>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</si>
  <si>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묘금리 농로 및 양저소하천 정비공사</t>
    </r>
    <r>
      <rPr>
        <sz val="10"/>
        <color rgb="FF000000"/>
        <rFont val="맑은 고딕"/>
        <family val="0"/>
        <charset val="1"/>
      </rPr>
      <t xml:space="preserve">(L=75m)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</si>
  <si>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</si>
  <si>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조천리 세천 및 농로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</si>
  <si>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</si>
  <si>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고당리 마을안길 정비공사</t>
    </r>
    <r>
      <rPr>
        <sz val="10"/>
        <color rgb="FF000000"/>
        <rFont val="맑은 고딕"/>
        <family val="0"/>
        <charset val="1"/>
      </rPr>
      <t xml:space="preserve">(L=25m)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</si>
  <si>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</si>
  <si>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귀평리 세천 및 마을안길 정비공사</t>
    </r>
    <r>
      <rPr>
        <sz val="10"/>
        <color rgb="FF000000"/>
        <rFont val="맑은 고딕"/>
        <family val="0"/>
        <charset val="1"/>
      </rPr>
      <t xml:space="preserve">(L=20m)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</si>
  <si>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8399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</si>
  <si>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청산면 마을 소식지 발간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</si>
  <si>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8463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</si>
  <si>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청산면 홍보 방송채널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</si>
  <si>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8464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</si>
  <si>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청산면 홍보 방송채널 운영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물품구입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</si>
  <si>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8465~8480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자산취득비</t>
    </r>
  </si>
  <si>
    <r>
      <rPr>
        <sz val="10"/>
        <color rgb="FF000000"/>
        <rFont val="WenQuanYi Zen Hei"/>
        <family val="2"/>
      </rPr>
      <t xml:space="preserve">백운리 배수로 정비공사</t>
    </r>
    <r>
      <rPr>
        <sz val="10"/>
        <color rgb="FF000000"/>
        <rFont val="맑은 고딕"/>
        <family val="0"/>
        <charset val="1"/>
      </rPr>
      <t xml:space="preserve">(L=90m)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</si>
  <si>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</si>
  <si>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지전리 마을안길재포장공사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</si>
  <si>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</si>
  <si>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하서리 세천정비공사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</si>
  <si>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</si>
  <si>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신매리 농로및배수로정비공사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</si>
  <si>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</si>
  <si>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한곡리 농로및배수로정비공사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</si>
  <si>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</si>
  <si>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판수리 농로확포장공사</t>
    </r>
    <r>
      <rPr>
        <sz val="10"/>
        <color rgb="FF000000"/>
        <rFont val="맑은 고딕"/>
        <family val="0"/>
        <charset val="1"/>
      </rPr>
      <t xml:space="preserve">(L=300m)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</si>
  <si>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</si>
  <si>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덕지리 배수로정비공사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</si>
  <si>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8562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</si>
  <si>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대성리 배수로정비공사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</si>
  <si>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</si>
  <si>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삼방리 농로및배수로정비공사</t>
    </r>
    <r>
      <rPr>
        <sz val="10"/>
        <color rgb="FF000000"/>
        <rFont val="맑은 고딕"/>
        <family val="0"/>
        <charset val="1"/>
      </rPr>
      <t xml:space="preserve">(L=90m)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</si>
  <si>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8564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</si>
  <si>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이원면지 제작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</si>
  <si>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8624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</si>
  <si>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만세운동 유적지 안내도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</si>
  <si>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8625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</si>
  <si>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평계리 농로정비공사</t>
    </r>
    <r>
      <rPr>
        <sz val="10"/>
        <color rgb="FF000000"/>
        <rFont val="맑은 고딕"/>
        <family val="0"/>
        <charset val="1"/>
      </rPr>
      <t xml:space="preserve">(L=430m)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</si>
  <si>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8697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</si>
  <si>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지정리 구거정비공사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</si>
  <si>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8698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</si>
  <si>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현리 마을안길정비공사</t>
    </r>
    <r>
      <rPr>
        <sz val="10"/>
        <color rgb="FF000000"/>
        <rFont val="맑은 고딕"/>
        <family val="0"/>
        <charset val="1"/>
      </rPr>
      <t xml:space="preserve">(L=300m)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</si>
  <si>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8699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</si>
  <si>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의평리 마을안길정비공사</t>
    </r>
    <r>
      <rPr>
        <sz val="10"/>
        <color rgb="FF000000"/>
        <rFont val="맑은 고딕"/>
        <family val="0"/>
        <charset val="1"/>
      </rPr>
      <t xml:space="preserve">(L=300m)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</si>
  <si>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8700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</si>
  <si>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두암리 마을안길정비공사</t>
    </r>
    <r>
      <rPr>
        <sz val="10"/>
        <color rgb="FF000000"/>
        <rFont val="맑은 고딕"/>
        <family val="0"/>
        <charset val="1"/>
      </rPr>
      <t xml:space="preserve">(L=300m)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</si>
  <si>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8701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</si>
  <si>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건진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구거정비공사</t>
    </r>
    <r>
      <rPr>
        <sz val="10"/>
        <color rgb="FF000000"/>
        <rFont val="맑은 고딕"/>
        <family val="0"/>
        <charset val="1"/>
      </rPr>
      <t xml:space="preserve">(L=65m)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</si>
  <si>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8702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</si>
  <si>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장찬리 농로 및 배수로정비공사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</si>
  <si>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</si>
  <si>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소정리 농로 및 배수로정비공사</t>
    </r>
    <r>
      <rPr>
        <sz val="10"/>
        <color rgb="FF000000"/>
        <rFont val="맑은 고딕"/>
        <family val="0"/>
        <charset val="1"/>
      </rPr>
      <t xml:space="preserve">(L=25m)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</si>
  <si>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</si>
  <si>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윤정리 구거정비공사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</si>
  <si>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</si>
  <si>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환경정화 용품 구입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</si>
  <si>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8765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</si>
  <si>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경로당 발 마사지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</si>
  <si>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</si>
  <si>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서화뜰 작은 음악회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</si>
  <si>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</si>
  <si>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마성산성 역사 유적 조사 용역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</si>
  <si>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연구개발비</t>
    </r>
  </si>
  <si>
    <t xml:space="preserve">군서 주민자치회 꽃길 조성사업 유지관리비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</si>
  <si>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</si>
  <si>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마을 분리수거함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</si>
  <si>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8770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</si>
  <si>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동산리 배수로 정비공사</t>
    </r>
    <r>
      <rPr>
        <sz val="10"/>
        <color rgb="FF000000"/>
        <rFont val="맑은 고딕"/>
        <family val="0"/>
        <charset val="1"/>
      </rPr>
      <t xml:space="preserve">(L=90m)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</si>
  <si>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</si>
  <si>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증산리 마을안길 정비공사</t>
    </r>
    <r>
      <rPr>
        <sz val="10"/>
        <color rgb="FF000000"/>
        <rFont val="맑은 고딕"/>
        <family val="0"/>
        <charset val="1"/>
      </rPr>
      <t xml:space="preserve">(A=1,000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</si>
  <si>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</si>
  <si>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은행리 배수로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</si>
  <si>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</si>
  <si>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은행리 마을안길 정비공사</t>
    </r>
    <r>
      <rPr>
        <sz val="10"/>
        <color rgb="FF000000"/>
        <rFont val="맑은 고딕"/>
        <family val="0"/>
        <charset val="1"/>
      </rPr>
      <t xml:space="preserve">(L=120m)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</si>
  <si>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</si>
  <si>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사양리 배수로 정비공사</t>
    </r>
    <r>
      <rPr>
        <sz val="10"/>
        <color rgb="FF000000"/>
        <rFont val="맑은 고딕"/>
        <family val="0"/>
        <charset val="1"/>
      </rPr>
      <t xml:space="preserve">(L=25m)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</si>
  <si>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</si>
  <si>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사양리 농로 및 배수로 정비공사</t>
    </r>
    <r>
      <rPr>
        <sz val="10"/>
        <color rgb="FF000000"/>
        <rFont val="맑은 고딕"/>
        <family val="0"/>
        <charset val="1"/>
      </rPr>
      <t xml:space="preserve">(L=70m)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</si>
  <si>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</si>
  <si>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월전리 용배수로 정비공사</t>
    </r>
    <r>
      <rPr>
        <sz val="10"/>
        <color rgb="FF000000"/>
        <rFont val="맑은 고딕"/>
        <family val="0"/>
        <charset val="1"/>
      </rPr>
      <t xml:space="preserve">(L=70m)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</si>
  <si>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8849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</si>
  <si>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공감센터 조형물 설치</t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</si>
  <si>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</si>
  <si>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증약리 재해위험개선 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</si>
  <si>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</si>
  <si>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막지리 마을안길 정비 공사</t>
    </r>
    <r>
      <rPr>
        <sz val="10"/>
        <color rgb="FF000000"/>
        <rFont val="맑은 고딕"/>
        <family val="0"/>
        <charset val="1"/>
      </rPr>
      <t xml:space="preserve">(L=300m)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</si>
  <si>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</si>
  <si>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비야리 마을환경개선공사 </t>
    </r>
    <r>
      <rPr>
        <sz val="10"/>
        <color rgb="FF000000"/>
        <rFont val="맑은 고딕"/>
        <family val="0"/>
        <charset val="1"/>
      </rPr>
      <t xml:space="preserve">(L=20m)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</si>
  <si>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</si>
  <si>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감로리 마을환경개선공사 </t>
    </r>
    <r>
      <rPr>
        <sz val="10"/>
        <color rgb="FF000000"/>
        <rFont val="맑은 고딕"/>
        <family val="0"/>
        <charset val="1"/>
      </rPr>
      <t xml:space="preserve">(A=326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</si>
  <si>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</si>
  <si>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대촌리 임도 조성 공사 </t>
    </r>
    <r>
      <rPr>
        <sz val="10"/>
        <color rgb="FF000000"/>
        <rFont val="맑은 고딕"/>
        <family val="0"/>
        <charset val="1"/>
      </rPr>
      <t xml:space="preserve">(L=800m)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</si>
  <si>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</si>
  <si>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이평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농로포장 공사 </t>
    </r>
    <r>
      <rPr>
        <sz val="10"/>
        <color rgb="FF000000"/>
        <rFont val="맑은 고딕"/>
        <family val="0"/>
        <charset val="1"/>
      </rPr>
      <t xml:space="preserve">(L=140m)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</si>
  <si>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</si>
  <si>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이평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농로포장 공사 </t>
    </r>
    <r>
      <rPr>
        <sz val="10"/>
        <color rgb="FF000000"/>
        <rFont val="맑은 고딕"/>
        <family val="0"/>
        <charset val="1"/>
      </rPr>
      <t xml:space="preserve">(L=140m)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</si>
  <si>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</si>
  <si>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항곡리 세천 정비 공사 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</si>
  <si>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본예산 세출 산출근거 </t>
    </r>
    <r>
      <rPr>
        <sz val="10"/>
        <color rgb="FF000000"/>
        <rFont val="맑은 고딕"/>
        <family val="0"/>
        <charset val="1"/>
      </rPr>
      <t xml:space="preserve">8977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</si>
  <si>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유채꽃축제 스마트폰 사진공모전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</si>
  <si>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</si>
  <si>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</si>
  <si>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WenQuanYi Zen Hei"/>
        <family val="2"/>
      </rPr>
      <t xml:space="preserve">찾아가는 발 건강관리교실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</si>
  <si>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</si>
  <si>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WenQuanYi Zen Hei"/>
        <family val="2"/>
      </rPr>
      <t xml:space="preserve">역사문화탐방해설사 양성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</si>
  <si>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</si>
  <si>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</si>
  <si>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민간이전</t>
    </r>
  </si>
  <si>
    <r>
      <rPr>
        <sz val="10"/>
        <color rgb="FF000000"/>
        <rFont val="WenQuanYi Zen Hei"/>
        <family val="2"/>
      </rPr>
      <t xml:space="preserve">군서면민 홈페이지 제작 지원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</si>
  <si>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1539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민간자본이전</t>
    </r>
  </si>
  <si>
    <t xml:space="preserve">향수봄날장터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</si>
  <si>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7566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</si>
  <si>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전통놀이 체험마당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</si>
  <si>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7567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</si>
  <si>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무지개 꽃길 조성사업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</si>
  <si>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7568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</si>
  <si>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7569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</si>
  <si>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마항리 마을안길 정비공사</t>
    </r>
    <r>
      <rPr>
        <sz val="10"/>
        <color rgb="FF000000"/>
        <rFont val="맑은 고딕"/>
        <family val="0"/>
        <charset val="1"/>
      </rPr>
      <t xml:space="preserve">(L=400m)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</si>
  <si>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</si>
  <si>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귀현리 마을안길 정비공사</t>
    </r>
    <r>
      <rPr>
        <sz val="10"/>
        <color rgb="FF000000"/>
        <rFont val="맑은 고딕"/>
        <family val="0"/>
        <charset val="1"/>
      </rPr>
      <t xml:space="preserve">(L=400m)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</si>
  <si>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</si>
  <si>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상야리 농로확포장공사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</si>
  <si>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</si>
  <si>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교동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농로확포장공사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</si>
  <si>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</si>
  <si>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귀죽리 마을안길 정비공사</t>
    </r>
    <r>
      <rPr>
        <sz val="10"/>
        <color rgb="FF000000"/>
        <rFont val="맑은 고딕"/>
        <family val="0"/>
        <charset val="1"/>
      </rPr>
      <t xml:space="preserve">(L=400m)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</si>
  <si>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</si>
  <si>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화계리 배수로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</si>
  <si>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</si>
  <si>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양수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세천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</si>
  <si>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옥천읍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</si>
  <si>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아트벤치 및 유채꽃밭 경관조성 장비 임차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</si>
  <si>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</si>
  <si>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재료비</t>
    </r>
  </si>
  <si>
    <t xml:space="preserve">포토존 조성사업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</si>
  <si>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</si>
  <si>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꽃길 조성사업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</si>
  <si>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</si>
  <si>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금암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 및 배수로 정비공사</t>
    </r>
    <r>
      <rPr>
        <sz val="10"/>
        <color rgb="FF000000"/>
        <rFont val="맑은 고딕"/>
        <family val="0"/>
        <charset val="1"/>
      </rPr>
      <t xml:space="preserve">(L=80m)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</si>
  <si>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7777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</si>
  <si>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석탄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비가림시설 설치공사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</si>
  <si>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7778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</si>
  <si>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소도리 농로 확장공사</t>
    </r>
    <r>
      <rPr>
        <sz val="10"/>
        <color rgb="FF000000"/>
        <rFont val="맑은 고딕"/>
        <family val="0"/>
        <charset val="1"/>
      </rPr>
      <t xml:space="preserve">(L=80m)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</si>
  <si>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7779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</si>
  <si>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학령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배수로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</si>
  <si>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7780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</si>
  <si>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우산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마을쉼터 조성공사</t>
    </r>
    <r>
      <rPr>
        <sz val="10"/>
        <color rgb="FF000000"/>
        <rFont val="맑은 고딕"/>
        <family val="0"/>
        <charset val="1"/>
      </rPr>
      <t xml:space="preserve">(A=615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</si>
  <si>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7781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</si>
  <si>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학령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마을안길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</si>
  <si>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7782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</si>
  <si>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평촌리 농로 및 배수로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</si>
  <si>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7783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</si>
  <si>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상촌리 농로 및 배수로 정비공사</t>
    </r>
    <r>
      <rPr>
        <sz val="10"/>
        <color rgb="FF000000"/>
        <rFont val="맑은 고딕"/>
        <family val="0"/>
        <charset val="1"/>
      </rPr>
      <t xml:space="preserve">(L=90m)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</si>
  <si>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7784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</si>
  <si>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현동리 소교량 정비공사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</si>
  <si>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7785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동이면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</si>
  <si>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연주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군도</t>
    </r>
    <r>
      <rPr>
        <sz val="10"/>
        <color rgb="FF000000"/>
        <rFont val="맑은 고딕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호선 배수로 정비공사</t>
    </r>
    <r>
      <rPr>
        <sz val="10"/>
        <color rgb="FF000000"/>
        <rFont val="맑은 고딕"/>
        <family val="0"/>
        <charset val="1"/>
      </rPr>
      <t xml:space="preserve">(L=40m)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</si>
  <si>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7906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</si>
  <si>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지수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</si>
  <si>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7907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</si>
  <si>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지수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구거 정비공사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</si>
  <si>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7908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</si>
  <si>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도농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마을안길 및 우수관로 정비공사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</si>
  <si>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7909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</si>
  <si>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도농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 및 배수로 정비공사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</si>
  <si>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7910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안남면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</si>
  <si>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7963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</si>
  <si>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WenQuanYi Zen Hei"/>
        <family val="2"/>
      </rPr>
      <t xml:space="preserve">현리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농로 확포장공사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</si>
  <si>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</si>
  <si>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정곡리 농로 확포장 및 배수로 정비공사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</si>
  <si>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</si>
  <si>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도이리 세천 및 농로 정비공사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</si>
  <si>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8028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</si>
  <si>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북대리 농로 포장공사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</si>
  <si>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8029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</si>
  <si>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오덕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농로 확포장공사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</si>
  <si>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8030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</si>
  <si>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방하목리 소하천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</si>
  <si>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8031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</si>
  <si>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월외리 농로 사면 및 배수로 정비공사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</si>
  <si>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8032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</si>
  <si>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답양리 마을창고 보수공사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</si>
  <si>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8033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안내면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</si>
  <si>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청성 산성 문화축제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</si>
  <si>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8096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</si>
  <si>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WenQuanYi Zen Hei"/>
        <family val="2"/>
      </rPr>
      <t xml:space="preserve">산계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광장 정비공사</t>
    </r>
    <r>
      <rPr>
        <sz val="10"/>
        <color rgb="FF000000"/>
        <rFont val="맑은 고딕"/>
        <family val="0"/>
        <charset val="1"/>
      </rPr>
      <t xml:space="preserve">(A=600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</si>
  <si>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</si>
  <si>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산계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배수로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</si>
  <si>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</si>
  <si>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산계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리 농로 정비공사</t>
    </r>
    <r>
      <rPr>
        <sz val="10"/>
        <color rgb="FF000000"/>
        <rFont val="맑은 고딕"/>
        <family val="0"/>
        <charset val="1"/>
      </rPr>
      <t xml:space="preserve">(L=75m)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</si>
  <si>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</si>
  <si>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만명리 농로 정비공사</t>
    </r>
    <r>
      <rPr>
        <sz val="10"/>
        <color rgb="FF000000"/>
        <rFont val="맑은 고딕"/>
        <family val="0"/>
        <charset val="1"/>
      </rPr>
      <t xml:space="preserve">(L=125m)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</si>
  <si>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</si>
  <si>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무회리 농로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</si>
  <si>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</si>
  <si>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궁촌리 광장 정비공사</t>
    </r>
    <r>
      <rPr>
        <sz val="10"/>
        <color rgb="FF000000"/>
        <rFont val="맑은 고딕"/>
        <family val="0"/>
        <charset val="1"/>
      </rPr>
      <t xml:space="preserve">(A=140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</si>
  <si>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</si>
  <si>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소서리 쉼터 정비공사</t>
    </r>
    <r>
      <rPr>
        <sz val="10"/>
        <color rgb="FF000000"/>
        <rFont val="맑은 고딕"/>
        <family val="0"/>
        <charset val="1"/>
      </rPr>
      <t xml:space="preserve">(A=300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</si>
  <si>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</si>
  <si>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삼남리 농로 정비공사</t>
    </r>
    <r>
      <rPr>
        <sz val="10"/>
        <color rgb="FF000000"/>
        <rFont val="맑은 고딕"/>
        <family val="0"/>
        <charset val="1"/>
      </rPr>
      <t xml:space="preserve">(L=32m)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</si>
  <si>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</si>
  <si>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조천리 세천 정비공사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</si>
  <si>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8159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</si>
  <si>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묘금리 마을안길 및 농로 정비공사</t>
    </r>
    <r>
      <rPr>
        <sz val="10"/>
        <color rgb="FF000000"/>
        <rFont val="맑은 고딕"/>
        <family val="0"/>
        <charset val="1"/>
      </rPr>
      <t xml:space="preserve">(L=75m)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</si>
  <si>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8160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</si>
  <si>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도곡리 배수로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</si>
  <si>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8161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청성면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</si>
  <si>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어린이날 행사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</si>
  <si>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8224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</si>
  <si>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WenQuanYi Zen Hei"/>
        <family val="2"/>
      </rPr>
      <t xml:space="preserve">관광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문화 홍보 스크린 전광판 설치</t>
    </r>
    <r>
      <rPr>
        <sz val="10"/>
        <color rgb="FF000000"/>
        <rFont val="맑은 고딕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</si>
  <si>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8225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</si>
  <si>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짝짜꿍 친환경 쉼터 조성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</si>
  <si>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8226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</si>
  <si>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역사와 문화에 대한 로고라이트 설치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</si>
  <si>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8227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</si>
  <si>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백운리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</si>
  <si>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</si>
  <si>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하서리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</si>
  <si>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</si>
  <si>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대사리 농로 및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</si>
  <si>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</si>
  <si>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장위리 배수로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</si>
  <si>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</si>
  <si>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인정리 용수로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</si>
  <si>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</si>
  <si>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효림리 농로 정비공사</t>
    </r>
    <r>
      <rPr>
        <sz val="10"/>
        <color rgb="FF000000"/>
        <rFont val="맑은 고딕"/>
        <family val="0"/>
        <charset val="1"/>
      </rPr>
      <t xml:space="preserve">(L=100m)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</si>
  <si>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</si>
  <si>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상예곡리 배수로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</si>
  <si>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8309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</si>
  <si>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대성리 농로 정비공사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</si>
  <si>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8310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</si>
  <si>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만월리 농로 포장공사</t>
    </r>
    <r>
      <rPr>
        <sz val="10"/>
        <color rgb="FF000000"/>
        <rFont val="맑은 고딕"/>
        <family val="0"/>
        <charset val="1"/>
      </rPr>
      <t xml:space="preserve">(L=200m)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</si>
  <si>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청산면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</si>
  <si>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어린이 생활체육 지원사업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</si>
  <si>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8369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</si>
  <si>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야간경관조명 설치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</si>
  <si>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8370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</si>
  <si>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구미리 다목적광장 정비공사</t>
    </r>
    <r>
      <rPr>
        <sz val="10"/>
        <color rgb="FF000000"/>
        <rFont val="맑은 고딕"/>
        <family val="0"/>
        <charset val="1"/>
      </rPr>
      <t xml:space="preserve">(L=40m)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</si>
  <si>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</si>
  <si>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의평리 농로 및 마을안길 정비공사</t>
    </r>
    <r>
      <rPr>
        <sz val="10"/>
        <color rgb="FF000000"/>
        <rFont val="맑은 고딕"/>
        <family val="0"/>
        <charset val="1"/>
      </rPr>
      <t xml:space="preserve">(L=80m)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</si>
  <si>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</si>
  <si>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장화리 농로 정비공사</t>
    </r>
    <r>
      <rPr>
        <sz val="10"/>
        <color rgb="FF000000"/>
        <rFont val="맑은 고딕"/>
        <family val="0"/>
        <charset val="1"/>
      </rPr>
      <t xml:space="preserve">(L=180m)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</si>
  <si>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</si>
  <si>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강청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마을광장 조성공사</t>
    </r>
    <r>
      <rPr>
        <sz val="10"/>
        <color rgb="FF000000"/>
        <rFont val="맑은 고딕"/>
        <family val="0"/>
        <charset val="1"/>
      </rPr>
      <t xml:space="preserve">(A=500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</si>
  <si>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</si>
  <si>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수묵리 농로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</si>
  <si>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</si>
  <si>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포동리 박스 정비공사</t>
    </r>
    <r>
      <rPr>
        <sz val="10"/>
        <color rgb="FF000000"/>
        <rFont val="맑은 고딕"/>
        <family val="0"/>
        <charset val="1"/>
      </rPr>
      <t xml:space="preserve">(L=6m)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</si>
  <si>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</si>
  <si>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윤정리 농로 및 배수로 정비공사</t>
    </r>
    <r>
      <rPr>
        <sz val="10"/>
        <color rgb="FF000000"/>
        <rFont val="맑은 고딕"/>
        <family val="0"/>
        <charset val="1"/>
      </rPr>
      <t xml:space="preserve">(L=70m)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</si>
  <si>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</si>
  <si>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현리 마을안길 정비공사</t>
    </r>
    <r>
      <rPr>
        <sz val="10"/>
        <color rgb="FF000000"/>
        <rFont val="맑은 고딕"/>
        <family val="0"/>
        <charset val="1"/>
      </rPr>
      <t xml:space="preserve">(A=1,000</t>
    </r>
    <r>
      <rPr>
        <sz val="10"/>
        <color rgb="FF000000"/>
        <rFont val="WenQuanYi Zen Hei"/>
        <family val="2"/>
      </rPr>
      <t xml:space="preserve">㎡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</si>
  <si>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</si>
  <si>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원동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세천정비공사</t>
    </r>
    <r>
      <rPr>
        <sz val="10"/>
        <color rgb="FF000000"/>
        <rFont val="맑은 고딕"/>
        <family val="0"/>
        <charset val="1"/>
      </rPr>
      <t xml:space="preserve">(L=70m)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</si>
  <si>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8450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</si>
  <si>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지탄리 농로 정비공사</t>
    </r>
    <r>
      <rPr>
        <sz val="10"/>
        <color rgb="FF000000"/>
        <rFont val="맑은 고딕"/>
        <family val="0"/>
        <charset val="1"/>
      </rPr>
      <t xml:space="preserve">(L=40m)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</si>
  <si>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8451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이원면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</si>
  <si>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8511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</si>
  <si>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8512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</si>
  <si>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군서면 역사 바로 세우기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</si>
  <si>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8513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</si>
  <si>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8514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</si>
  <si>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금천리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</si>
  <si>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8586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</si>
  <si>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동산리 마을안길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</si>
  <si>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8587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</si>
  <si>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사양리 농로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</si>
  <si>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8588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</si>
  <si>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사양리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</si>
  <si>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8589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</si>
  <si>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사정리 세천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</si>
  <si>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8590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</si>
  <si>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상중리 세천 정비공사</t>
    </r>
    <r>
      <rPr>
        <sz val="10"/>
        <color rgb="FF000000"/>
        <rFont val="맑은 고딕"/>
        <family val="0"/>
        <charset val="1"/>
      </rPr>
      <t xml:space="preserve">(L=30m)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</si>
  <si>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8591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</si>
  <si>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오동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리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</si>
  <si>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8592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군서면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</si>
  <si>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t xml:space="preserve">추억의 가을 운동회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</si>
  <si>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8648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일반운영비</t>
    </r>
  </si>
  <si>
    <t xml:space="preserve">태양광 센서식 가로등 설치</t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</si>
  <si>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8649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주민자치회 참여예산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</si>
  <si>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이백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리 배수로 설치공사</t>
    </r>
    <r>
      <rPr>
        <sz val="10"/>
        <color rgb="FF000000"/>
        <rFont val="맑은 고딕"/>
        <family val="0"/>
        <charset val="1"/>
      </rPr>
      <t xml:space="preserve">(L=60m)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</si>
  <si>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8715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</si>
  <si>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자모리 배수로 및 세천 정비공사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</si>
  <si>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8716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</si>
  <si>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비야리 농로 확장공사</t>
    </r>
    <r>
      <rPr>
        <sz val="10"/>
        <color rgb="FF000000"/>
        <rFont val="맑은 고딕"/>
        <family val="0"/>
        <charset val="1"/>
      </rPr>
      <t xml:space="preserve">(L=25m)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</si>
  <si>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8717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</si>
  <si>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항곡리 농로 확포장공사</t>
    </r>
    <r>
      <rPr>
        <sz val="10"/>
        <color rgb="FF000000"/>
        <rFont val="맑은 고딕"/>
        <family val="0"/>
        <charset val="1"/>
      </rPr>
      <t xml:space="preserve">(L=120m)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</si>
  <si>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8718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</si>
  <si>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환평리 마을안길 확장공사</t>
    </r>
    <r>
      <rPr>
        <sz val="10"/>
        <color rgb="FF000000"/>
        <rFont val="맑은 고딕"/>
        <family val="0"/>
        <charset val="1"/>
      </rPr>
      <t xml:space="preserve">(L=40m)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</si>
  <si>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8719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</si>
  <si>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석호리 배수로 정비공사</t>
    </r>
    <r>
      <rPr>
        <sz val="10"/>
        <color rgb="FF000000"/>
        <rFont val="맑은 고딕"/>
        <family val="0"/>
        <charset val="1"/>
      </rPr>
      <t xml:space="preserve">(L=150m)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</si>
  <si>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8720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</si>
  <si>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막지리 선착장 보강공사</t>
    </r>
    <r>
      <rPr>
        <sz val="10"/>
        <color rgb="FF000000"/>
        <rFont val="맑은 고딕"/>
        <family val="0"/>
        <charset val="1"/>
      </rPr>
      <t xml:space="preserve">(L=50m)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</si>
  <si>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8721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</si>
  <si>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10"/>
        <color rgb="FF000000"/>
        <rFont val="WenQuanYi Zen Hei"/>
        <family val="2"/>
      </rPr>
      <t xml:space="preserve">와정리 아스콘 덧씌우기공사</t>
    </r>
    <r>
      <rPr>
        <sz val="10"/>
        <color rgb="FF000000"/>
        <rFont val="맑은 고딕"/>
        <family val="0"/>
        <charset val="1"/>
      </rPr>
      <t xml:space="preserve">(L=300m)</t>
    </r>
  </si>
  <si>
    <r>
      <rPr>
        <sz val="10"/>
        <color rgb="FF000000"/>
        <rFont val="맑은 고딕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당초예산 세출 산출근거 </t>
    </r>
    <r>
      <rPr>
        <sz val="10"/>
        <color rgb="FF000000"/>
        <rFont val="맑은 고딕"/>
        <family val="0"/>
        <charset val="1"/>
      </rPr>
      <t xml:space="preserve">8722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주민참여숙원사업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군북면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시설비및부대비</t>
    </r>
  </si>
  <si>
    <r>
      <rPr>
        <sz val="9"/>
        <color rgb="FF555555"/>
        <rFont val="WenQuanYi Zen Hei"/>
        <family val="2"/>
      </rPr>
      <t xml:space="preserve">※ 유형 중 어디까지를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주민제안사업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으로 볼지 담당 부서에서 정한 뒤 </t>
    </r>
    <r>
      <rPr>
        <sz val="9"/>
        <color rgb="FF555555"/>
        <rFont val="맑은 고딕"/>
        <family val="0"/>
        <charset val="1"/>
      </rPr>
      <t xml:space="preserve">'1-1 </t>
    </r>
    <r>
      <rPr>
        <sz val="9"/>
        <color rgb="FF555555"/>
        <rFont val="WenQuanYi Zen Hei"/>
        <family val="2"/>
      </rPr>
      <t xml:space="preserve">반영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을 표시하세요</t>
    </r>
    <r>
      <rPr>
        <sz val="9"/>
        <color rgb="FF555555"/>
        <rFont val="맑은 고딕"/>
        <family val="0"/>
        <charset val="1"/>
      </rPr>
      <t xml:space="preserve">. '25 </t>
    </r>
    <r>
      <rPr>
        <sz val="9"/>
        <color rgb="FF555555"/>
        <rFont val="WenQuanYi Zen Hei"/>
        <family val="2"/>
      </rPr>
      <t xml:space="preserve">운영계획은 읍면주도형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지역회의형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주민자치회형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과 일반공모형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군민참여형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아동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청소년참여형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을 주민제안사업으로 구분했어요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목록은 담당자가 세출 산출근거 엑셀</t>
    </r>
    <r>
      <rPr>
        <sz val="9"/>
        <color rgb="FF555555"/>
        <rFont val="맑은 고딕"/>
        <family val="0"/>
        <charset val="1"/>
      </rPr>
      <t xml:space="preserve">(2025 </t>
    </r>
    <r>
      <rPr>
        <sz val="9"/>
        <color rgb="FF555555"/>
        <rFont val="WenQuanYi Zen Hei"/>
        <family val="2"/>
      </rPr>
      <t xml:space="preserve">당초</t>
    </r>
    <r>
      <rPr>
        <sz val="9"/>
        <color rgb="FF555555"/>
        <rFont val="맑은 고딕"/>
        <family val="0"/>
        <charset val="1"/>
      </rPr>
      <t xml:space="preserve">, 2026 </t>
    </r>
    <r>
      <rPr>
        <sz val="9"/>
        <color rgb="FF555555"/>
        <rFont val="WenQuanYi Zen Hei"/>
        <family val="2"/>
      </rPr>
      <t xml:space="preserve">본예산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에 노란색으로 표시한 행을 옮긴 것이고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추경 증감은 반영되지 않았어요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</si>
  <si>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0"/>
        <charset val="1"/>
      </rPr>
      <t xml:space="preserve">1-6] </t>
    </r>
    <r>
      <rPr>
        <b val="true"/>
        <sz val="14"/>
        <color rgb="FF000000"/>
        <rFont val="WenQuanYi Zen Hei"/>
        <family val="2"/>
      </rPr>
      <t xml:space="preserve">주민참여예산기구 운영 실적 취합</t>
    </r>
  </si>
  <si>
    <r>
      <rPr>
        <sz val="9"/>
        <color rgb="FF555555"/>
        <rFont val="WenQuanYi Zen Hei"/>
        <family val="2"/>
      </rPr>
      <t xml:space="preserve">평가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참여예산주민위원회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분과위원회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지역회의 등 지원조직의 실제 회의 개최 횟수 합계</t>
    </r>
    <r>
      <rPr>
        <sz val="9"/>
        <color rgb="FF555555"/>
        <rFont val="맑은 고딕"/>
        <family val="0"/>
        <charset val="1"/>
      </rPr>
      <t xml:space="preserve">. 20</t>
    </r>
    <r>
      <rPr>
        <sz val="9"/>
        <color rgb="FF555555"/>
        <rFont val="WenQuanYi Zen Hei"/>
        <family val="2"/>
      </rPr>
      <t xml:space="preserve">회 초과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/ 11~20</t>
    </r>
    <r>
      <rPr>
        <sz val="9"/>
        <color rgb="FF555555"/>
        <rFont val="WenQuanYi Zen Hei"/>
        <family val="2"/>
      </rPr>
      <t xml:space="preserve">회 </t>
    </r>
    <r>
      <rPr>
        <sz val="9"/>
        <color rgb="FF555555"/>
        <rFont val="맑은 고딕"/>
        <family val="0"/>
        <charset val="1"/>
      </rPr>
      <t xml:space="preserve"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/ 5~10</t>
    </r>
    <r>
      <rPr>
        <sz val="9"/>
        <color rgb="FF555555"/>
        <rFont val="WenQuanYi Zen Hei"/>
        <family val="2"/>
      </rPr>
      <t xml:space="preserve">회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(3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0"/>
        <charset val="1"/>
      </rPr>
      <t xml:space="preserve">).
</t>
    </r>
    <r>
      <rPr>
        <sz val="9"/>
        <color rgb="FF555555"/>
        <rFont val="WenQuanYi Zen Hei"/>
        <family val="2"/>
      </rPr>
      <t xml:space="preserve">작성기준</t>
    </r>
    <r>
      <rPr>
        <sz val="9"/>
        <color rgb="FF555555"/>
        <rFont val="맑은 고딕"/>
        <family val="0"/>
        <charset val="1"/>
      </rPr>
      <t xml:space="preserve">: 2026</t>
    </r>
    <r>
      <rPr>
        <sz val="9"/>
        <color rgb="FF555555"/>
        <rFont val="WenQuanYi Zen Hei"/>
        <family val="2"/>
      </rPr>
      <t xml:space="preserve">년 </t>
    </r>
    <r>
      <rPr>
        <sz val="9"/>
        <color rgb="FF555555"/>
        <rFont val="맑은 고딕"/>
        <family val="0"/>
        <charset val="1"/>
      </rPr>
      <t xml:space="preserve">1~12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(12</t>
    </r>
    <r>
      <rPr>
        <sz val="9"/>
        <color rgb="FF555555"/>
        <rFont val="WenQuanYi Zen Hei"/>
        <family val="2"/>
      </rPr>
      <t xml:space="preserve">월 말 예정분 포함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계획 문서 필요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서면자료 배포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내부 행정회의 등 실질 운영이 아닌 것은 제외</t>
    </r>
    <r>
      <rPr>
        <sz val="9"/>
        <color rgb="FF555555"/>
        <rFont val="맑은 고딕"/>
        <family val="0"/>
        <charset val="1"/>
      </rPr>
      <t xml:space="preserve">.
</t>
    </r>
    <r>
      <rPr>
        <sz val="9"/>
        <color rgb="FF555555"/>
        <rFont val="WenQuanYi Zen Hei"/>
        <family val="2"/>
      </rPr>
      <t xml:space="preserve">증빙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개최 계획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결과보고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회의록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사진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개최일자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참석인원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주요안건이 확인돼야 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</si>
  <si>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기구 구분</t>
  </si>
  <si>
    <r>
      <rPr>
        <b val="true"/>
        <sz val="10"/>
        <color rgb="FF000000"/>
        <rFont val="WenQuanYi Zen Hei"/>
        <family val="2"/>
      </rPr>
      <t xml:space="preserve">세부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분과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읍면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</si>
  <si>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개최일자</t>
  </si>
  <si>
    <t xml:space="preserve">장소</t>
  </si>
  <si>
    <r>
      <rPr>
        <b val="true"/>
        <sz val="10"/>
        <color rgb="FF000000"/>
        <rFont val="WenQuanYi Zen Hei"/>
        <family val="2"/>
      </rPr>
      <t xml:space="preserve">참석인원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명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</si>
  <si>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주요안건</t>
  </si>
  <si>
    <t xml:space="preserve">증빙자료</t>
  </si>
  <si>
    <r>
      <rPr>
        <b val="true"/>
        <sz val="10"/>
        <color rgb="FF000000"/>
        <rFont val="WenQuanYi Zen Hei"/>
        <family val="2"/>
      </rPr>
      <t xml:space="preserve">비고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예정 여부 등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</si>
  <si>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분과위원회</t>
  </si>
  <si>
    <t xml:space="preserve">자치행정분과</t>
  </si>
  <si>
    <t xml:space="preserve">2026-10-14</t>
  </si>
  <si>
    <t xml:space="preserve">군청 대회의실</t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</si>
  <si>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'27</t>
    </r>
    <r>
      <rPr>
        <i val="true"/>
        <sz val="10"/>
        <color rgb="FF808080"/>
        <rFont val="WenQuanYi Zen Hei"/>
        <family val="2"/>
      </rPr>
      <t xml:space="preserve">년 주민제안사업 우선순위 심의</t>
    </r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</si>
  <si>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</t>
    </r>
    <r>
      <rPr>
        <i val="true"/>
        <sz val="10"/>
        <color rgb="FF808080"/>
        <rFont val="WenQuanYi Zen Hei"/>
        <family val="2"/>
      </rPr>
      <t xml:space="preserve">분과위원회 개최 결과보고</t>
    </r>
  </si>
  <si>
    <t xml:space="preserve">완료</t>
  </si>
  <si>
    <t xml:space="preserve">참여예산주민위원회</t>
  </si>
  <si>
    <t xml:space="preserve">전체회의</t>
  </si>
  <si>
    <t xml:space="preserve">농산개발분과</t>
  </si>
  <si>
    <t xml:space="preserve">복지문화분과</t>
  </si>
  <si>
    <t xml:space="preserve">지역회의</t>
  </si>
  <si>
    <r>
      <rPr>
        <b val="true"/>
        <sz val="11"/>
        <color rgb="FF000000"/>
        <rFont val="WenQuanYi Zen Hei"/>
        <family val="2"/>
      </rPr>
      <t xml:space="preserve">■ 집계 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개최일자가 입력된 회의만 셈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</si>
  <si>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기타 지원조직</t>
  </si>
  <si>
    <t xml:space="preserve">합계</t>
  </si>
  <si>
    <t xml:space="preserve">예상 점수</t>
  </si>
  <si>
    <r>
      <rPr>
        <b val="true"/>
        <sz val="14"/>
        <color rgb="FF000000"/>
        <rFont val="맑은 고딕"/>
        <family val="0"/>
        <charset val="1"/>
      </rPr>
      <t xml:space="preserve">[</t>
    </r>
    <r>
      <rPr>
        <b val="true"/>
        <sz val="14"/>
        <color rgb="FF000000"/>
        <rFont val="WenQuanYi Zen Hei"/>
        <family val="2"/>
      </rPr>
      <t xml:space="preserve">지표 </t>
    </r>
    <r>
      <rPr>
        <b val="true"/>
        <sz val="14"/>
        <color rgb="FF000000"/>
        <rFont val="맑은 고딕"/>
        <family val="0"/>
        <charset val="1"/>
      </rPr>
      <t xml:space="preserve">3-1·3-2] </t>
    </r>
    <r>
      <rPr>
        <b val="true"/>
        <sz val="14"/>
        <color rgb="FF000000"/>
        <rFont val="WenQuanYi Zen Hei"/>
        <family val="2"/>
      </rPr>
      <t xml:space="preserve">주민참여예산 교육 실적 취합</t>
    </r>
  </si>
  <si>
    <r>
      <rPr>
        <sz val="9"/>
        <color rgb="FF555555"/>
        <rFont val="맑은 고딕"/>
        <family val="0"/>
        <charset val="1"/>
      </rPr>
      <t xml:space="preserve">3-1 </t>
    </r>
    <r>
      <rPr>
        <sz val="9"/>
        <color rgb="FF555555"/>
        <rFont val="WenQuanYi Zen Hei"/>
        <family val="2"/>
      </rPr>
      <t xml:space="preserve">교육과정 수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대상별로 구분되는 과정</t>
    </r>
    <r>
      <rPr>
        <sz val="9"/>
        <color rgb="FF555555"/>
        <rFont val="맑은 고딕"/>
        <family val="0"/>
        <charset val="1"/>
      </rPr>
      <t xml:space="preserve">): 5</t>
    </r>
    <r>
      <rPr>
        <sz val="9"/>
        <color rgb="FF555555"/>
        <rFont val="WenQuanYi Zen Hei"/>
        <family val="2"/>
      </rPr>
      <t xml:space="preserve">개 이상 </t>
    </r>
    <r>
      <rPr>
        <sz val="9"/>
        <color rgb="FF555555"/>
        <rFont val="맑은 고딕"/>
        <family val="0"/>
        <charset val="1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/ 3~4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/ 1~2</t>
    </r>
    <r>
      <rPr>
        <sz val="9"/>
        <color rgb="FF555555"/>
        <rFont val="WenQuanYi Zen Hei"/>
        <family val="2"/>
      </rPr>
      <t xml:space="preserve">개 </t>
    </r>
    <r>
      <rPr>
        <sz val="9"/>
        <color rgb="FF555555"/>
        <rFont val="맑은 고딕"/>
        <family val="0"/>
        <charset val="1"/>
      </rPr>
      <t xml:space="preserve">2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0"/>
        <charset val="1"/>
      </rPr>
      <t xml:space="preserve">.  3-2 </t>
    </r>
    <r>
      <rPr>
        <sz val="9"/>
        <color rgb="FF555555"/>
        <rFont val="WenQuanYi Zen Hei"/>
        <family val="2"/>
      </rPr>
      <t xml:space="preserve">교육시간 합계</t>
    </r>
    <r>
      <rPr>
        <sz val="9"/>
        <color rgb="FF555555"/>
        <rFont val="맑은 고딕"/>
        <family val="0"/>
        <charset val="1"/>
      </rPr>
      <t xml:space="preserve">: 15</t>
    </r>
    <r>
      <rPr>
        <sz val="9"/>
        <color rgb="FF555555"/>
        <rFont val="WenQuanYi Zen Hei"/>
        <family val="2"/>
      </rPr>
      <t xml:space="preserve">시간 이상 </t>
    </r>
    <r>
      <rPr>
        <sz val="9"/>
        <color rgb="FF555555"/>
        <rFont val="맑은 고딕"/>
        <family val="0"/>
        <charset val="1"/>
      </rPr>
      <t xml:space="preserve">4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/ 7~14</t>
    </r>
    <r>
      <rPr>
        <sz val="9"/>
        <color rgb="FF555555"/>
        <rFont val="WenQuanYi Zen Hei"/>
        <family val="2"/>
      </rPr>
      <t xml:space="preserve">시간 </t>
    </r>
    <r>
      <rPr>
        <sz val="9"/>
        <color rgb="FF555555"/>
        <rFont val="맑은 고딕"/>
        <family val="0"/>
        <charset val="1"/>
      </rPr>
      <t xml:space="preserve">2</t>
    </r>
    <r>
      <rPr>
        <sz val="9"/>
        <color rgb="FF555555"/>
        <rFont val="WenQuanYi Zen Hei"/>
        <family val="2"/>
      </rPr>
      <t xml:space="preserve">점 </t>
    </r>
    <r>
      <rPr>
        <sz val="9"/>
        <color rgb="FF555555"/>
        <rFont val="맑은 고딕"/>
        <family val="0"/>
        <charset val="1"/>
      </rPr>
      <t xml:space="preserve">/ 7</t>
    </r>
    <r>
      <rPr>
        <sz val="9"/>
        <color rgb="FF555555"/>
        <rFont val="WenQuanYi Zen Hei"/>
        <family val="2"/>
      </rPr>
      <t xml:space="preserve">시간 미만 </t>
    </r>
    <r>
      <rPr>
        <sz val="9"/>
        <color rgb="FF555555"/>
        <rFont val="맑은 고딕"/>
        <family val="0"/>
        <charset val="1"/>
      </rPr>
      <t xml:space="preserve">0</t>
    </r>
    <r>
      <rPr>
        <sz val="9"/>
        <color rgb="FF555555"/>
        <rFont val="WenQuanYi Zen Hei"/>
        <family val="2"/>
      </rPr>
      <t xml:space="preserve">점</t>
    </r>
    <r>
      <rPr>
        <sz val="9"/>
        <color rgb="FF555555"/>
        <rFont val="맑은 고딕"/>
        <family val="0"/>
        <charset val="1"/>
      </rPr>
      <t xml:space="preserve">.
</t>
    </r>
    <r>
      <rPr>
        <sz val="9"/>
        <color rgb="FF555555"/>
        <rFont val="WenQuanYi Zen Hei"/>
        <family val="2"/>
      </rPr>
      <t xml:space="preserve">교육시간은 수강인원과 관계없이 실제 운영시간으로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온라인 교육은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회 운영시간으로 셈해요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충북도가 군을 대상으로 개설한 교육도 군 실적으로 인정돼요</t>
    </r>
    <r>
      <rPr>
        <sz val="9"/>
        <color rgb="FF555555"/>
        <rFont val="맑은 고딕"/>
        <family val="0"/>
        <charset val="1"/>
      </rPr>
      <t xml:space="preserve">.
</t>
    </r>
    <r>
      <rPr>
        <sz val="9"/>
        <color rgb="FF555555"/>
        <rFont val="WenQuanYi Zen Hei"/>
        <family val="2"/>
      </rPr>
      <t xml:space="preserve">대상 예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참여예산주민위원회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지역회의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주민자치회 등 주민기구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사회적약자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노인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장애인 등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아동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청소년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청년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일반주민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</si>
  <si>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교육대상</t>
  </si>
  <si>
    <r>
      <rPr>
        <b val="true"/>
        <sz val="10"/>
        <color rgb="FF000000"/>
        <rFont val="WenQuanYi Zen Hei"/>
        <family val="2"/>
      </rPr>
      <t xml:space="preserve">교육과정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교육명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</si>
  <si>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교육일자</t>
  </si>
  <si>
    <r>
      <rPr>
        <b val="true"/>
        <sz val="10"/>
        <color rgb="FF000000"/>
        <rFont val="WenQuanYi Zen Hei"/>
        <family val="2"/>
      </rPr>
      <t xml:space="preserve">교육시간</t>
    </r>
    <r>
      <rPr>
        <b val="true"/>
        <sz val="10"/>
        <color rgb="FF000000"/>
        <rFont val="맑은 고딕"/>
        <family val="0"/>
        <charset val="1"/>
      </rPr>
      <t xml:space="preserve">(h)</t>
    </r>
  </si>
  <si>
    <t xml:space="preserve">방식</t>
  </si>
  <si>
    <t xml:space="preserve">운영주체</t>
  </si>
  <si>
    <t xml:space="preserve">교육내용</t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</si>
  <si>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2026 </t>
    </r>
    <r>
      <rPr>
        <i val="true"/>
        <sz val="10"/>
        <color rgb="FF808080"/>
        <rFont val="WenQuanYi Zen Hei"/>
        <family val="2"/>
      </rPr>
      <t xml:space="preserve">주민참여예산학교</t>
    </r>
  </si>
  <si>
    <t xml:space="preserve">2026-10-09</t>
  </si>
  <si>
    <t xml:space="preserve">대면</t>
  </si>
  <si>
    <t xml:space="preserve">옥천군</t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</si>
  <si>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</t>
    </r>
    <r>
      <rPr>
        <i val="true"/>
        <sz val="10"/>
        <color rgb="FF808080"/>
        <rFont val="WenQuanYi Zen Hei"/>
        <family val="2"/>
      </rPr>
      <t xml:space="preserve">주민참여예산제의 이해</t>
    </r>
    <r>
      <rPr>
        <i val="true"/>
        <sz val="10"/>
        <color rgb="FF808080"/>
        <rFont val="맑은 고딕"/>
        <family val="0"/>
        <charset val="1"/>
      </rPr>
      <t xml:space="preserve">, '27 </t>
    </r>
    <r>
      <rPr>
        <i val="true"/>
        <sz val="10"/>
        <color rgb="FF808080"/>
        <rFont val="WenQuanYi Zen Hei"/>
        <family val="2"/>
      </rPr>
      <t xml:space="preserve">예산편성 방향</t>
    </r>
  </si>
  <si>
    <r>
      <rPr>
        <i val="true"/>
        <sz val="10"/>
        <color rgb="FF808080"/>
        <rFont val="맑은 고딕"/>
        <family val="0"/>
        <charset val="1"/>
      </rPr>
      <t xml:space="preserve">(</t>
    </r>
    <r>
      <rPr>
        <i val="true"/>
        <sz val="10"/>
        <color rgb="FF808080"/>
        <rFont val="WenQuanYi Zen Hei"/>
        <family val="2"/>
      </rPr>
      <t xml:space="preserve">예시</t>
    </r>
    <r>
      <rPr>
        <i val="true"/>
        <sz val="10"/>
        <color rgb="FF808080"/>
        <rFont val="맑은 고딕"/>
        <family val="0"/>
        <charset val="1"/>
      </rPr>
      <t xml:space="preserve">) </t>
    </r>
    <r>
      <rPr>
        <i val="true"/>
        <sz val="10"/>
        <color rgb="FF808080"/>
        <rFont val="WenQuanYi Zen Hei"/>
        <family val="2"/>
      </rPr>
      <t xml:space="preserve">운영 결과 보고</t>
    </r>
  </si>
  <si>
    <r>
      <rPr>
        <b val="true"/>
        <sz val="11"/>
        <color rgb="FF000000"/>
        <rFont val="WenQuanYi Zen Hei"/>
        <family val="2"/>
      </rPr>
      <t xml:space="preserve">■ 집계 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예시 행 제외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</si>
  <si>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교육과정 수</t>
  </si>
  <si>
    <r>
      <rPr>
        <b val="true"/>
        <sz val="10"/>
        <color rgb="FF000000"/>
        <rFont val="맑은 고딕"/>
        <family val="0"/>
        <charset val="1"/>
      </rPr>
      <t xml:space="preserve">3-1 </t>
    </r>
    <r>
      <rPr>
        <b val="true"/>
        <sz val="10"/>
        <color rgb="FF000000"/>
        <rFont val="WenQuanYi Zen Hei"/>
        <family val="2"/>
      </rPr>
      <t xml:space="preserve">예상 점수</t>
    </r>
  </si>
  <si>
    <r>
      <rPr>
        <b val="true"/>
        <sz val="10"/>
        <color rgb="FF000000"/>
        <rFont val="WenQuanYi Zen Hei"/>
        <family val="2"/>
      </rPr>
      <t xml:space="preserve">교육시간 합계</t>
    </r>
    <r>
      <rPr>
        <b val="true"/>
        <sz val="10"/>
        <color rgb="FF000000"/>
        <rFont val="맑은 고딕"/>
        <family val="0"/>
        <charset val="1"/>
      </rPr>
      <t xml:space="preserve">(h)</t>
    </r>
  </si>
  <si>
    <r>
      <rPr>
        <b val="true"/>
        <sz val="10"/>
        <color rgb="FF000000"/>
        <rFont val="맑은 고딕"/>
        <family val="0"/>
        <charset val="1"/>
      </rPr>
      <t xml:space="preserve">3-2 </t>
    </r>
    <r>
      <rPr>
        <b val="true"/>
        <sz val="10"/>
        <color rgb="FF000000"/>
        <rFont val="WenQuanYi Zen Hei"/>
        <family val="2"/>
      </rPr>
      <t xml:space="preserve">예상 점수</t>
    </r>
  </si>
  <si>
    <r>
      <rPr>
        <sz val="9"/>
        <color rgb="FF555555"/>
        <rFont val="WenQuanYi Zen Hei"/>
        <family val="2"/>
      </rPr>
      <t xml:space="preserve">※ 같은 대상에 같은 과정을 여러 번 운영했으면 과정 수는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개로 보고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시간은 모두 더해요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</si>
</sst>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0%"/>
    <numFmt numFmtId="167" formatCode="#,##0"/>
    <numFmt numFmtId="168" formatCode="General"/>
    <numFmt numFmtId="169" formatCode="yyyy\-mm\-dd"/>
    <numFmt numFmtId="170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맑은 고딕"/>
      <family val="0"/>
      <charset val="1"/>
    </font>
    <font>
      <b val="true"/>
      <sz val="14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i val="true"/>
      <sz val="10"/>
      <color rgb="FF808080"/>
      <name val="WenQuanYi Zen Hei"/>
      <family val="2"/>
    </font>
    <font>
      <i val="true"/>
      <sz val="10"/>
      <color rgb="FF80808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34"/>
  </cols>
  <sheetData>
    <row r="1" customFormat="false" ht="19.4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54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3.4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</row>
    <row r="5" customFormat="false" ht="15" hidden="false" customHeight="true" outlineLevel="0" collapsed="false">
      <c r="A5" s="4" t="s">
        <v>3</v>
      </c>
      <c r="B5" s="4"/>
      <c r="C5" s="4"/>
      <c r="D5" s="4" t="s">
        <v>4</v>
      </c>
      <c r="E5" s="4"/>
      <c r="F5" s="4" t="s">
        <v>5</v>
      </c>
      <c r="G5" s="4"/>
      <c r="H5" s="4"/>
      <c r="I5" s="4"/>
      <c r="J5" s="4"/>
    </row>
    <row r="6" customFormat="false" ht="19.5" hidden="false" customHeight="true" outlineLevel="0" collapsed="false">
      <c r="A6" s="5" t="s">
        <v>6</v>
      </c>
      <c r="B6" s="5"/>
      <c r="C6" s="5"/>
      <c r="D6" s="6"/>
      <c r="E6" s="6"/>
      <c r="F6" s="7" t="s">
        <v>7</v>
      </c>
      <c r="G6" s="7"/>
      <c r="H6" s="7"/>
      <c r="I6" s="7"/>
      <c r="J6" s="7"/>
    </row>
    <row r="7" customFormat="false" ht="19.5" hidden="false" customHeight="true" outlineLevel="0" collapsed="false">
      <c r="A7" s="5" t="s">
        <v>8</v>
      </c>
      <c r="B7" s="5"/>
      <c r="C7" s="5"/>
      <c r="D7" s="8" t="n">
        <f aca="false">SUMIFS(H15:H238,B15:B238,"2026",I15:I238,"포함")</f>
        <v>2740000</v>
      </c>
      <c r="E7" s="8"/>
      <c r="F7" s="7" t="s">
        <v>9</v>
      </c>
      <c r="G7" s="7"/>
      <c r="H7" s="7"/>
      <c r="I7" s="7"/>
      <c r="J7" s="7"/>
    </row>
    <row r="8" customFormat="false" ht="19.5" hidden="false" customHeight="true" outlineLevel="0" collapsed="false">
      <c r="A8" s="5" t="s">
        <v>10</v>
      </c>
      <c r="B8" s="5"/>
      <c r="C8" s="5"/>
      <c r="D8" s="8" t="n">
        <f aca="false">SUMIFS(H15:H238,B15:B238,"2025",I15:I238,"포함")</f>
        <v>2661000</v>
      </c>
      <c r="E8" s="8"/>
      <c r="F8" s="7" t="s">
        <v>11</v>
      </c>
      <c r="G8" s="7"/>
      <c r="H8" s="7"/>
      <c r="I8" s="7"/>
      <c r="J8" s="7"/>
    </row>
    <row r="9" customFormat="false" ht="19.5" hidden="false" customHeight="true" outlineLevel="0" collapsed="false">
      <c r="A9" s="9" t="s">
        <v>12</v>
      </c>
      <c r="B9" s="9"/>
      <c r="C9" s="9"/>
      <c r="D9" s="8" t="n">
        <f aca="false">D7-D8</f>
        <v>79000</v>
      </c>
      <c r="E9" s="8"/>
      <c r="F9" s="7" t="s">
        <v>13</v>
      </c>
      <c r="G9" s="7"/>
      <c r="H9" s="7"/>
      <c r="I9" s="7"/>
      <c r="J9" s="7"/>
    </row>
    <row r="10" customFormat="false" ht="19.5" hidden="false" customHeight="true" outlineLevel="0" collapsed="false">
      <c r="A10" s="9" t="s">
        <v>14</v>
      </c>
      <c r="B10" s="9"/>
      <c r="C10" s="9"/>
      <c r="D10" s="10" t="str">
        <f aca="false">IF(D6&gt;0,D7/D6,"")</f>
        <v/>
      </c>
      <c r="E10" s="10"/>
      <c r="F10" s="11" t="s">
        <v>15</v>
      </c>
      <c r="G10" s="11"/>
      <c r="H10" s="11"/>
      <c r="I10" s="11"/>
      <c r="J10" s="11"/>
    </row>
    <row r="12" customFormat="false" ht="15" hidden="false" customHeight="false" outlineLevel="0" collapsed="false">
      <c r="A12" s="12" t="s">
        <v>16</v>
      </c>
    </row>
    <row r="13" customFormat="false" ht="30" hidden="false" customHeight="true" outlineLevel="0" collapsed="false">
      <c r="A13" s="4" t="s">
        <v>17</v>
      </c>
      <c r="B13" s="4" t="s">
        <v>18</v>
      </c>
      <c r="C13" s="4" t="s">
        <v>19</v>
      </c>
      <c r="D13" s="4" t="s">
        <v>20</v>
      </c>
      <c r="E13" s="4" t="s">
        <v>21</v>
      </c>
      <c r="F13" s="4" t="s">
        <v>22</v>
      </c>
      <c r="G13" s="4" t="s">
        <v>23</v>
      </c>
      <c r="H13" s="4" t="s">
        <v>24</v>
      </c>
      <c r="I13" s="13" t="s">
        <v>25</v>
      </c>
      <c r="J13" s="4" t="s">
        <v>26</v>
      </c>
    </row>
    <row r="14" customFormat="false" ht="21.75" hidden="false" customHeight="true" outlineLevel="0" collapsed="false">
      <c r="A14" s="14" t="s">
        <v>27</v>
      </c>
      <c r="B14" s="15" t="s">
        <v>28</v>
      </c>
      <c r="C14" s="16" t="s">
        <v>29</v>
      </c>
      <c r="D14" s="16" t="s">
        <v>30</v>
      </c>
      <c r="E14" s="15" t="s">
        <v>31</v>
      </c>
      <c r="F14" s="16" t="s">
        <v>32</v>
      </c>
      <c r="G14" s="16" t="s">
        <v>33</v>
      </c>
      <c r="H14" s="17" t="n">
        <v>30000</v>
      </c>
      <c r="I14" s="16" t="s">
        <v>34</v>
      </c>
      <c r="J14" s="15" t="s">
        <v>35</v>
      </c>
    </row>
    <row r="15" customFormat="false" ht="21.75" hidden="false" customHeight="true" outlineLevel="0" collapsed="false">
      <c r="A15" s="18" t="n">
        <f aca="false">IF(E15="","",COUNTA(E$15:E15))</f>
        <v>1</v>
      </c>
      <c r="B15" s="19" t="n">
        <v>2026</v>
      </c>
      <c r="C15" s="20" t="s">
        <v>36</v>
      </c>
      <c r="D15" s="20" t="s">
        <v>37</v>
      </c>
      <c r="E15" s="20" t="s">
        <v>38</v>
      </c>
      <c r="F15" s="20" t="s">
        <v>39</v>
      </c>
      <c r="G15" s="20" t="s">
        <v>33</v>
      </c>
      <c r="H15" s="21" t="n">
        <v>5000</v>
      </c>
      <c r="I15" s="20" t="s">
        <v>34</v>
      </c>
      <c r="J15" s="19" t="s">
        <v>40</v>
      </c>
    </row>
    <row r="16" customFormat="false" ht="21.75" hidden="false" customHeight="true" outlineLevel="0" collapsed="false">
      <c r="A16" s="18" t="n">
        <f aca="false">IF(E16="","",COUNTA(E$15:E16))</f>
        <v>2</v>
      </c>
      <c r="B16" s="19" t="n">
        <v>2026</v>
      </c>
      <c r="C16" s="20" t="s">
        <v>36</v>
      </c>
      <c r="D16" s="20" t="s">
        <v>41</v>
      </c>
      <c r="E16" s="20" t="s">
        <v>42</v>
      </c>
      <c r="F16" s="20" t="s">
        <v>39</v>
      </c>
      <c r="G16" s="20" t="s">
        <v>33</v>
      </c>
      <c r="H16" s="21" t="n">
        <v>5000</v>
      </c>
      <c r="I16" s="20" t="s">
        <v>34</v>
      </c>
      <c r="J16" s="19" t="s">
        <v>43</v>
      </c>
    </row>
    <row r="17" customFormat="false" ht="21.75" hidden="false" customHeight="true" outlineLevel="0" collapsed="false">
      <c r="A17" s="18" t="n">
        <f aca="false">IF(E17="","",COUNTA(E$15:E17))</f>
        <v>3</v>
      </c>
      <c r="B17" s="19" t="n">
        <v>2026</v>
      </c>
      <c r="C17" s="20" t="s">
        <v>36</v>
      </c>
      <c r="D17" s="20" t="s">
        <v>44</v>
      </c>
      <c r="E17" s="20" t="s">
        <v>45</v>
      </c>
      <c r="F17" s="20" t="s">
        <v>39</v>
      </c>
      <c r="G17" s="20" t="s">
        <v>33</v>
      </c>
      <c r="H17" s="21" t="n">
        <v>5000</v>
      </c>
      <c r="I17" s="20" t="s">
        <v>34</v>
      </c>
      <c r="J17" s="19" t="s">
        <v>46</v>
      </c>
    </row>
    <row r="18" customFormat="false" ht="21.75" hidden="false" customHeight="true" outlineLevel="0" collapsed="false">
      <c r="A18" s="18" t="n">
        <f aca="false">IF(E18="","",COUNTA(E$15:E18))</f>
        <v>4</v>
      </c>
      <c r="B18" s="19" t="n">
        <v>2026</v>
      </c>
      <c r="C18" s="20" t="s">
        <v>36</v>
      </c>
      <c r="D18" s="20" t="s">
        <v>47</v>
      </c>
      <c r="E18" s="20" t="s">
        <v>48</v>
      </c>
      <c r="F18" s="20" t="s">
        <v>39</v>
      </c>
      <c r="G18" s="20" t="s">
        <v>33</v>
      </c>
      <c r="H18" s="21" t="n">
        <v>5000</v>
      </c>
      <c r="I18" s="20" t="s">
        <v>34</v>
      </c>
      <c r="J18" s="19" t="s">
        <v>49</v>
      </c>
    </row>
    <row r="19" customFormat="false" ht="21.75" hidden="false" customHeight="true" outlineLevel="0" collapsed="false">
      <c r="A19" s="18" t="n">
        <f aca="false">IF(E19="","",COUNTA(E$15:E19))</f>
        <v>5</v>
      </c>
      <c r="B19" s="19" t="n">
        <v>2026</v>
      </c>
      <c r="C19" s="20" t="s">
        <v>36</v>
      </c>
      <c r="D19" s="20" t="s">
        <v>50</v>
      </c>
      <c r="E19" s="20" t="s">
        <v>51</v>
      </c>
      <c r="F19" s="20" t="s">
        <v>39</v>
      </c>
      <c r="G19" s="20" t="s">
        <v>33</v>
      </c>
      <c r="H19" s="21" t="n">
        <v>5000</v>
      </c>
      <c r="I19" s="20" t="s">
        <v>34</v>
      </c>
      <c r="J19" s="19" t="s">
        <v>52</v>
      </c>
    </row>
    <row r="20" customFormat="false" ht="21.75" hidden="false" customHeight="true" outlineLevel="0" collapsed="false">
      <c r="A20" s="18" t="n">
        <f aca="false">IF(E20="","",COUNTA(E$15:E20))</f>
        <v>6</v>
      </c>
      <c r="B20" s="19" t="n">
        <v>2026</v>
      </c>
      <c r="C20" s="20" t="s">
        <v>36</v>
      </c>
      <c r="D20" s="20" t="s">
        <v>53</v>
      </c>
      <c r="E20" s="20" t="s">
        <v>54</v>
      </c>
      <c r="F20" s="20" t="s">
        <v>39</v>
      </c>
      <c r="G20" s="20" t="s">
        <v>33</v>
      </c>
      <c r="H20" s="21" t="n">
        <v>5000</v>
      </c>
      <c r="I20" s="20" t="s">
        <v>34</v>
      </c>
      <c r="J20" s="19" t="s">
        <v>55</v>
      </c>
    </row>
    <row r="21" customFormat="false" ht="21.75" hidden="false" customHeight="true" outlineLevel="0" collapsed="false">
      <c r="A21" s="18" t="n">
        <f aca="false">IF(E21="","",COUNTA(E$15:E21))</f>
        <v>7</v>
      </c>
      <c r="B21" s="19" t="n">
        <v>2026</v>
      </c>
      <c r="C21" s="20" t="s">
        <v>36</v>
      </c>
      <c r="D21" s="20" t="s">
        <v>56</v>
      </c>
      <c r="E21" s="20" t="s">
        <v>57</v>
      </c>
      <c r="F21" s="20" t="s">
        <v>39</v>
      </c>
      <c r="G21" s="20" t="s">
        <v>33</v>
      </c>
      <c r="H21" s="21" t="n">
        <v>5000</v>
      </c>
      <c r="I21" s="20" t="s">
        <v>34</v>
      </c>
      <c r="J21" s="19" t="s">
        <v>58</v>
      </c>
    </row>
    <row r="22" customFormat="false" ht="21.75" hidden="false" customHeight="true" outlineLevel="0" collapsed="false">
      <c r="A22" s="18" t="n">
        <f aca="false">IF(E22="","",COUNTA(E$15:E22))</f>
        <v>8</v>
      </c>
      <c r="B22" s="19" t="n">
        <v>2026</v>
      </c>
      <c r="C22" s="20" t="s">
        <v>36</v>
      </c>
      <c r="D22" s="20" t="s">
        <v>30</v>
      </c>
      <c r="E22" s="20" t="s">
        <v>59</v>
      </c>
      <c r="F22" s="20" t="s">
        <v>39</v>
      </c>
      <c r="G22" s="20" t="s">
        <v>33</v>
      </c>
      <c r="H22" s="21" t="n">
        <v>5000</v>
      </c>
      <c r="I22" s="20" t="s">
        <v>34</v>
      </c>
      <c r="J22" s="19" t="s">
        <v>60</v>
      </c>
    </row>
    <row r="23" customFormat="false" ht="21.75" hidden="false" customHeight="true" outlineLevel="0" collapsed="false">
      <c r="A23" s="18" t="n">
        <f aca="false">IF(E23="","",COUNTA(E$15:E23))</f>
        <v>9</v>
      </c>
      <c r="B23" s="19" t="n">
        <v>2026</v>
      </c>
      <c r="C23" s="20" t="s">
        <v>36</v>
      </c>
      <c r="D23" s="20" t="s">
        <v>61</v>
      </c>
      <c r="E23" s="20" t="s">
        <v>62</v>
      </c>
      <c r="F23" s="20" t="s">
        <v>39</v>
      </c>
      <c r="G23" s="20" t="s">
        <v>33</v>
      </c>
      <c r="H23" s="21" t="n">
        <v>5000</v>
      </c>
      <c r="I23" s="20" t="s">
        <v>34</v>
      </c>
      <c r="J23" s="19" t="s">
        <v>63</v>
      </c>
    </row>
    <row r="24" customFormat="false" ht="21.75" hidden="false" customHeight="true" outlineLevel="0" collapsed="false">
      <c r="A24" s="18" t="n">
        <f aca="false">IF(E24="","",COUNTA(E$15:E24))</f>
        <v>10</v>
      </c>
      <c r="B24" s="19" t="n">
        <v>2026</v>
      </c>
      <c r="C24" s="20" t="s">
        <v>36</v>
      </c>
      <c r="D24" s="20" t="s">
        <v>30</v>
      </c>
      <c r="E24" s="20" t="s">
        <v>64</v>
      </c>
      <c r="F24" s="20" t="s">
        <v>30</v>
      </c>
      <c r="G24" s="20" t="s">
        <v>33</v>
      </c>
      <c r="H24" s="21" t="n">
        <v>30400</v>
      </c>
      <c r="I24" s="20" t="s">
        <v>34</v>
      </c>
      <c r="J24" s="19" t="s">
        <v>65</v>
      </c>
    </row>
    <row r="25" customFormat="false" ht="21.75" hidden="false" customHeight="true" outlineLevel="0" collapsed="false">
      <c r="A25" s="18" t="n">
        <f aca="false">IF(E25="","",COUNTA(E$15:E25))</f>
        <v>11</v>
      </c>
      <c r="B25" s="19" t="n">
        <v>2026</v>
      </c>
      <c r="C25" s="20" t="s">
        <v>36</v>
      </c>
      <c r="D25" s="20" t="s">
        <v>30</v>
      </c>
      <c r="E25" s="20" t="s">
        <v>66</v>
      </c>
      <c r="F25" s="20" t="s">
        <v>30</v>
      </c>
      <c r="G25" s="20" t="s">
        <v>33</v>
      </c>
      <c r="H25" s="21" t="n">
        <v>3400</v>
      </c>
      <c r="I25" s="20" t="s">
        <v>34</v>
      </c>
      <c r="J25" s="19" t="s">
        <v>67</v>
      </c>
    </row>
    <row r="26" customFormat="false" ht="21.75" hidden="false" customHeight="true" outlineLevel="0" collapsed="false">
      <c r="A26" s="18" t="n">
        <f aca="false">IF(E26="","",COUNTA(E$15:E26))</f>
        <v>12</v>
      </c>
      <c r="B26" s="19" t="n">
        <v>2026</v>
      </c>
      <c r="C26" s="20" t="s">
        <v>36</v>
      </c>
      <c r="D26" s="20" t="s">
        <v>30</v>
      </c>
      <c r="E26" s="20" t="s">
        <v>68</v>
      </c>
      <c r="F26" s="20" t="s">
        <v>30</v>
      </c>
      <c r="G26" s="20" t="s">
        <v>33</v>
      </c>
      <c r="H26" s="21" t="n">
        <v>4200</v>
      </c>
      <c r="I26" s="20" t="s">
        <v>34</v>
      </c>
      <c r="J26" s="19" t="s">
        <v>69</v>
      </c>
    </row>
    <row r="27" customFormat="false" ht="21.75" hidden="false" customHeight="true" outlineLevel="0" collapsed="false">
      <c r="A27" s="18" t="n">
        <f aca="false">IF(E27="","",COUNTA(E$15:E27))</f>
        <v>13</v>
      </c>
      <c r="B27" s="19" t="n">
        <v>2026</v>
      </c>
      <c r="C27" s="20" t="s">
        <v>36</v>
      </c>
      <c r="D27" s="20" t="s">
        <v>30</v>
      </c>
      <c r="E27" s="20" t="s">
        <v>70</v>
      </c>
      <c r="F27" s="20" t="s">
        <v>30</v>
      </c>
      <c r="G27" s="20" t="s">
        <v>33</v>
      </c>
      <c r="H27" s="21" t="n">
        <v>5000</v>
      </c>
      <c r="I27" s="20" t="s">
        <v>34</v>
      </c>
      <c r="J27" s="19" t="s">
        <v>71</v>
      </c>
    </row>
    <row r="28" customFormat="false" ht="21.75" hidden="false" customHeight="true" outlineLevel="0" collapsed="false">
      <c r="A28" s="18" t="n">
        <f aca="false">IF(E28="","",COUNTA(E$15:E28))</f>
        <v>14</v>
      </c>
      <c r="B28" s="19" t="n">
        <v>2026</v>
      </c>
      <c r="C28" s="20" t="s">
        <v>36</v>
      </c>
      <c r="D28" s="20" t="s">
        <v>30</v>
      </c>
      <c r="E28" s="20" t="s">
        <v>72</v>
      </c>
      <c r="F28" s="20" t="s">
        <v>30</v>
      </c>
      <c r="G28" s="20" t="s">
        <v>33</v>
      </c>
      <c r="H28" s="21" t="n">
        <v>2000</v>
      </c>
      <c r="I28" s="20" t="s">
        <v>34</v>
      </c>
      <c r="J28" s="19" t="s">
        <v>73</v>
      </c>
    </row>
    <row r="29" customFormat="false" ht="21.75" hidden="false" customHeight="true" outlineLevel="0" collapsed="false">
      <c r="A29" s="18" t="n">
        <f aca="false">IF(E29="","",COUNTA(E$15:E29))</f>
        <v>15</v>
      </c>
      <c r="B29" s="19" t="n">
        <v>2026</v>
      </c>
      <c r="C29" s="20" t="s">
        <v>29</v>
      </c>
      <c r="D29" s="20" t="s">
        <v>30</v>
      </c>
      <c r="E29" s="20" t="s">
        <v>74</v>
      </c>
      <c r="F29" s="20" t="s">
        <v>30</v>
      </c>
      <c r="G29" s="20" t="s">
        <v>33</v>
      </c>
      <c r="H29" s="21" t="n">
        <v>50000</v>
      </c>
      <c r="I29" s="20" t="s">
        <v>34</v>
      </c>
      <c r="J29" s="19" t="s">
        <v>75</v>
      </c>
    </row>
    <row r="30" customFormat="false" ht="21.75" hidden="false" customHeight="true" outlineLevel="0" collapsed="false">
      <c r="A30" s="18" t="n">
        <f aca="false">IF(E30="","",COUNTA(E$15:E30))</f>
        <v>16</v>
      </c>
      <c r="B30" s="19" t="n">
        <v>2026</v>
      </c>
      <c r="C30" s="20" t="s">
        <v>29</v>
      </c>
      <c r="D30" s="20" t="s">
        <v>30</v>
      </c>
      <c r="E30" s="20" t="s">
        <v>76</v>
      </c>
      <c r="F30" s="20" t="s">
        <v>30</v>
      </c>
      <c r="G30" s="20" t="s">
        <v>33</v>
      </c>
      <c r="H30" s="21" t="n">
        <v>50000</v>
      </c>
      <c r="I30" s="20" t="s">
        <v>34</v>
      </c>
      <c r="J30" s="19" t="s">
        <v>77</v>
      </c>
    </row>
    <row r="31" customFormat="false" ht="21.75" hidden="false" customHeight="true" outlineLevel="0" collapsed="false">
      <c r="A31" s="18" t="n">
        <f aca="false">IF(E31="","",COUNTA(E$15:E31))</f>
        <v>17</v>
      </c>
      <c r="B31" s="19" t="n">
        <v>2026</v>
      </c>
      <c r="C31" s="20" t="s">
        <v>29</v>
      </c>
      <c r="D31" s="20" t="s">
        <v>30</v>
      </c>
      <c r="E31" s="20" t="s">
        <v>78</v>
      </c>
      <c r="F31" s="20" t="s">
        <v>30</v>
      </c>
      <c r="G31" s="20" t="s">
        <v>33</v>
      </c>
      <c r="H31" s="21" t="n">
        <v>50000</v>
      </c>
      <c r="I31" s="20" t="s">
        <v>34</v>
      </c>
      <c r="J31" s="19" t="s">
        <v>79</v>
      </c>
    </row>
    <row r="32" customFormat="false" ht="21.75" hidden="false" customHeight="true" outlineLevel="0" collapsed="false">
      <c r="A32" s="18" t="n">
        <f aca="false">IF(E32="","",COUNTA(E$15:E32))</f>
        <v>18</v>
      </c>
      <c r="B32" s="19" t="n">
        <v>2026</v>
      </c>
      <c r="C32" s="20" t="s">
        <v>29</v>
      </c>
      <c r="D32" s="20" t="s">
        <v>30</v>
      </c>
      <c r="E32" s="20" t="s">
        <v>80</v>
      </c>
      <c r="F32" s="20" t="s">
        <v>30</v>
      </c>
      <c r="G32" s="20" t="s">
        <v>33</v>
      </c>
      <c r="H32" s="21" t="n">
        <v>50000</v>
      </c>
      <c r="I32" s="20" t="s">
        <v>34</v>
      </c>
      <c r="J32" s="19" t="s">
        <v>81</v>
      </c>
    </row>
    <row r="33" customFormat="false" ht="21.75" hidden="false" customHeight="true" outlineLevel="0" collapsed="false">
      <c r="A33" s="18" t="n">
        <f aca="false">IF(E33="","",COUNTA(E$15:E33))</f>
        <v>19</v>
      </c>
      <c r="B33" s="19" t="n">
        <v>2026</v>
      </c>
      <c r="C33" s="20" t="s">
        <v>29</v>
      </c>
      <c r="D33" s="20" t="s">
        <v>30</v>
      </c>
      <c r="E33" s="20" t="s">
        <v>82</v>
      </c>
      <c r="F33" s="20" t="s">
        <v>30</v>
      </c>
      <c r="G33" s="20" t="s">
        <v>33</v>
      </c>
      <c r="H33" s="21" t="n">
        <v>50000</v>
      </c>
      <c r="I33" s="20" t="s">
        <v>34</v>
      </c>
      <c r="J33" s="19" t="s">
        <v>83</v>
      </c>
    </row>
    <row r="34" customFormat="false" ht="21.75" hidden="false" customHeight="true" outlineLevel="0" collapsed="false">
      <c r="A34" s="18" t="n">
        <f aca="false">IF(E34="","",COUNTA(E$15:E34))</f>
        <v>20</v>
      </c>
      <c r="B34" s="19" t="n">
        <v>2026</v>
      </c>
      <c r="C34" s="20" t="s">
        <v>29</v>
      </c>
      <c r="D34" s="20" t="s">
        <v>30</v>
      </c>
      <c r="E34" s="20" t="s">
        <v>84</v>
      </c>
      <c r="F34" s="20" t="s">
        <v>30</v>
      </c>
      <c r="G34" s="20" t="s">
        <v>33</v>
      </c>
      <c r="H34" s="21" t="n">
        <v>50000</v>
      </c>
      <c r="I34" s="20" t="s">
        <v>34</v>
      </c>
      <c r="J34" s="19" t="s">
        <v>85</v>
      </c>
    </row>
    <row r="35" customFormat="false" ht="21.75" hidden="false" customHeight="true" outlineLevel="0" collapsed="false">
      <c r="A35" s="18" t="n">
        <f aca="false">IF(E35="","",COUNTA(E$15:E35))</f>
        <v>21</v>
      </c>
      <c r="B35" s="19" t="n">
        <v>2026</v>
      </c>
      <c r="C35" s="20" t="s">
        <v>29</v>
      </c>
      <c r="D35" s="20" t="s">
        <v>30</v>
      </c>
      <c r="E35" s="20" t="s">
        <v>86</v>
      </c>
      <c r="F35" s="20" t="s">
        <v>30</v>
      </c>
      <c r="G35" s="20" t="s">
        <v>33</v>
      </c>
      <c r="H35" s="21" t="n">
        <v>50000</v>
      </c>
      <c r="I35" s="20" t="s">
        <v>34</v>
      </c>
      <c r="J35" s="19" t="s">
        <v>87</v>
      </c>
    </row>
    <row r="36" customFormat="false" ht="21.75" hidden="false" customHeight="true" outlineLevel="0" collapsed="false">
      <c r="A36" s="18" t="n">
        <f aca="false">IF(E36="","",COUNTA(E$15:E36))</f>
        <v>22</v>
      </c>
      <c r="B36" s="19" t="n">
        <v>2026</v>
      </c>
      <c r="C36" s="20" t="s">
        <v>36</v>
      </c>
      <c r="D36" s="20" t="s">
        <v>37</v>
      </c>
      <c r="E36" s="20" t="s">
        <v>88</v>
      </c>
      <c r="F36" s="20" t="s">
        <v>37</v>
      </c>
      <c r="G36" s="20" t="s">
        <v>33</v>
      </c>
      <c r="H36" s="21" t="n">
        <v>5000</v>
      </c>
      <c r="I36" s="20" t="s">
        <v>34</v>
      </c>
      <c r="J36" s="19" t="s">
        <v>89</v>
      </c>
    </row>
    <row r="37" customFormat="false" ht="21.75" hidden="false" customHeight="true" outlineLevel="0" collapsed="false">
      <c r="A37" s="18" t="n">
        <f aca="false">IF(E37="","",COUNTA(E$15:E37))</f>
        <v>23</v>
      </c>
      <c r="B37" s="19" t="n">
        <v>2026</v>
      </c>
      <c r="C37" s="20" t="s">
        <v>36</v>
      </c>
      <c r="D37" s="20" t="s">
        <v>37</v>
      </c>
      <c r="E37" s="20" t="s">
        <v>90</v>
      </c>
      <c r="F37" s="20" t="s">
        <v>37</v>
      </c>
      <c r="G37" s="20" t="s">
        <v>33</v>
      </c>
      <c r="H37" s="21" t="n">
        <v>5000</v>
      </c>
      <c r="I37" s="20" t="s">
        <v>34</v>
      </c>
      <c r="J37" s="19" t="s">
        <v>91</v>
      </c>
    </row>
    <row r="38" customFormat="false" ht="21.75" hidden="false" customHeight="true" outlineLevel="0" collapsed="false">
      <c r="A38" s="18" t="n">
        <f aca="false">IF(E38="","",COUNTA(E$15:E38))</f>
        <v>24</v>
      </c>
      <c r="B38" s="19" t="n">
        <v>2026</v>
      </c>
      <c r="C38" s="20" t="s">
        <v>36</v>
      </c>
      <c r="D38" s="20" t="s">
        <v>37</v>
      </c>
      <c r="E38" s="20" t="s">
        <v>92</v>
      </c>
      <c r="F38" s="20" t="s">
        <v>37</v>
      </c>
      <c r="G38" s="20" t="s">
        <v>33</v>
      </c>
      <c r="H38" s="21" t="n">
        <v>15000</v>
      </c>
      <c r="I38" s="20" t="s">
        <v>34</v>
      </c>
      <c r="J38" s="19" t="s">
        <v>93</v>
      </c>
    </row>
    <row r="39" customFormat="false" ht="21.75" hidden="false" customHeight="true" outlineLevel="0" collapsed="false">
      <c r="A39" s="18" t="n">
        <f aca="false">IF(E39="","",COUNTA(E$15:E39))</f>
        <v>25</v>
      </c>
      <c r="B39" s="19" t="n">
        <v>2026</v>
      </c>
      <c r="C39" s="20" t="s">
        <v>36</v>
      </c>
      <c r="D39" s="20" t="s">
        <v>37</v>
      </c>
      <c r="E39" s="20" t="s">
        <v>94</v>
      </c>
      <c r="F39" s="20" t="s">
        <v>37</v>
      </c>
      <c r="G39" s="20" t="s">
        <v>33</v>
      </c>
      <c r="H39" s="21" t="n">
        <v>20000</v>
      </c>
      <c r="I39" s="20" t="s">
        <v>34</v>
      </c>
      <c r="J39" s="19" t="s">
        <v>95</v>
      </c>
    </row>
    <row r="40" customFormat="false" ht="21.75" hidden="false" customHeight="true" outlineLevel="0" collapsed="false">
      <c r="A40" s="18" t="n">
        <f aca="false">IF(E40="","",COUNTA(E$15:E40))</f>
        <v>26</v>
      </c>
      <c r="B40" s="19" t="n">
        <v>2026</v>
      </c>
      <c r="C40" s="20" t="s">
        <v>29</v>
      </c>
      <c r="D40" s="20" t="s">
        <v>37</v>
      </c>
      <c r="E40" s="20" t="s">
        <v>96</v>
      </c>
      <c r="F40" s="20" t="s">
        <v>37</v>
      </c>
      <c r="G40" s="20" t="s">
        <v>33</v>
      </c>
      <c r="H40" s="21" t="n">
        <v>40000</v>
      </c>
      <c r="I40" s="20" t="s">
        <v>34</v>
      </c>
      <c r="J40" s="19" t="s">
        <v>97</v>
      </c>
    </row>
    <row r="41" customFormat="false" ht="21.75" hidden="false" customHeight="true" outlineLevel="0" collapsed="false">
      <c r="A41" s="18" t="n">
        <f aca="false">IF(E41="","",COUNTA(E$15:E41))</f>
        <v>27</v>
      </c>
      <c r="B41" s="19" t="n">
        <v>2026</v>
      </c>
      <c r="C41" s="20" t="s">
        <v>29</v>
      </c>
      <c r="D41" s="20" t="s">
        <v>37</v>
      </c>
      <c r="E41" s="20" t="s">
        <v>98</v>
      </c>
      <c r="F41" s="20" t="s">
        <v>37</v>
      </c>
      <c r="G41" s="20" t="s">
        <v>33</v>
      </c>
      <c r="H41" s="21" t="n">
        <v>25000</v>
      </c>
      <c r="I41" s="20" t="s">
        <v>34</v>
      </c>
      <c r="J41" s="19" t="s">
        <v>99</v>
      </c>
    </row>
    <row r="42" customFormat="false" ht="21.75" hidden="false" customHeight="true" outlineLevel="0" collapsed="false">
      <c r="A42" s="18" t="n">
        <f aca="false">IF(E42="","",COUNTA(E$15:E42))</f>
        <v>28</v>
      </c>
      <c r="B42" s="19" t="n">
        <v>2026</v>
      </c>
      <c r="C42" s="20" t="s">
        <v>29</v>
      </c>
      <c r="D42" s="20" t="s">
        <v>37</v>
      </c>
      <c r="E42" s="20" t="s">
        <v>100</v>
      </c>
      <c r="F42" s="20" t="s">
        <v>37</v>
      </c>
      <c r="G42" s="20" t="s">
        <v>33</v>
      </c>
      <c r="H42" s="21" t="n">
        <v>25000</v>
      </c>
      <c r="I42" s="20" t="s">
        <v>34</v>
      </c>
      <c r="J42" s="19" t="s">
        <v>101</v>
      </c>
    </row>
    <row r="43" customFormat="false" ht="21.75" hidden="false" customHeight="true" outlineLevel="0" collapsed="false">
      <c r="A43" s="18" t="n">
        <f aca="false">IF(E43="","",COUNTA(E$15:E43))</f>
        <v>29</v>
      </c>
      <c r="B43" s="19" t="n">
        <v>2026</v>
      </c>
      <c r="C43" s="20" t="s">
        <v>29</v>
      </c>
      <c r="D43" s="20" t="s">
        <v>37</v>
      </c>
      <c r="E43" s="20" t="s">
        <v>102</v>
      </c>
      <c r="F43" s="20" t="s">
        <v>37</v>
      </c>
      <c r="G43" s="20" t="s">
        <v>33</v>
      </c>
      <c r="H43" s="21" t="n">
        <v>40000</v>
      </c>
      <c r="I43" s="20" t="s">
        <v>34</v>
      </c>
      <c r="J43" s="19" t="s">
        <v>103</v>
      </c>
    </row>
    <row r="44" customFormat="false" ht="21.75" hidden="false" customHeight="true" outlineLevel="0" collapsed="false">
      <c r="A44" s="18" t="n">
        <f aca="false">IF(E44="","",COUNTA(E$15:E44))</f>
        <v>30</v>
      </c>
      <c r="B44" s="19" t="n">
        <v>2026</v>
      </c>
      <c r="C44" s="20" t="s">
        <v>29</v>
      </c>
      <c r="D44" s="20" t="s">
        <v>37</v>
      </c>
      <c r="E44" s="20" t="s">
        <v>104</v>
      </c>
      <c r="F44" s="20" t="s">
        <v>37</v>
      </c>
      <c r="G44" s="20" t="s">
        <v>33</v>
      </c>
      <c r="H44" s="21" t="n">
        <v>30000</v>
      </c>
      <c r="I44" s="20" t="s">
        <v>34</v>
      </c>
      <c r="J44" s="19" t="s">
        <v>105</v>
      </c>
    </row>
    <row r="45" customFormat="false" ht="21.75" hidden="false" customHeight="true" outlineLevel="0" collapsed="false">
      <c r="A45" s="18" t="n">
        <f aca="false">IF(E45="","",COUNTA(E$15:E45))</f>
        <v>31</v>
      </c>
      <c r="B45" s="19" t="n">
        <v>2026</v>
      </c>
      <c r="C45" s="20" t="s">
        <v>29</v>
      </c>
      <c r="D45" s="20" t="s">
        <v>37</v>
      </c>
      <c r="E45" s="20" t="s">
        <v>106</v>
      </c>
      <c r="F45" s="20" t="s">
        <v>37</v>
      </c>
      <c r="G45" s="20" t="s">
        <v>33</v>
      </c>
      <c r="H45" s="21" t="n">
        <v>35000</v>
      </c>
      <c r="I45" s="20" t="s">
        <v>34</v>
      </c>
      <c r="J45" s="19" t="s">
        <v>107</v>
      </c>
    </row>
    <row r="46" customFormat="false" ht="21.75" hidden="false" customHeight="true" outlineLevel="0" collapsed="false">
      <c r="A46" s="18" t="n">
        <f aca="false">IF(E46="","",COUNTA(E$15:E46))</f>
        <v>32</v>
      </c>
      <c r="B46" s="19" t="n">
        <v>2026</v>
      </c>
      <c r="C46" s="20" t="s">
        <v>29</v>
      </c>
      <c r="D46" s="20" t="s">
        <v>37</v>
      </c>
      <c r="E46" s="20" t="s">
        <v>108</v>
      </c>
      <c r="F46" s="20" t="s">
        <v>37</v>
      </c>
      <c r="G46" s="20" t="s">
        <v>33</v>
      </c>
      <c r="H46" s="21" t="n">
        <v>35000</v>
      </c>
      <c r="I46" s="20" t="s">
        <v>34</v>
      </c>
      <c r="J46" s="19" t="s">
        <v>109</v>
      </c>
    </row>
    <row r="47" customFormat="false" ht="21.75" hidden="false" customHeight="true" outlineLevel="0" collapsed="false">
      <c r="A47" s="18" t="n">
        <f aca="false">IF(E47="","",COUNTA(E$15:E47))</f>
        <v>33</v>
      </c>
      <c r="B47" s="19" t="n">
        <v>2026</v>
      </c>
      <c r="C47" s="20" t="s">
        <v>29</v>
      </c>
      <c r="D47" s="20" t="s">
        <v>37</v>
      </c>
      <c r="E47" s="20" t="s">
        <v>110</v>
      </c>
      <c r="F47" s="20" t="s">
        <v>37</v>
      </c>
      <c r="G47" s="20" t="s">
        <v>33</v>
      </c>
      <c r="H47" s="21" t="n">
        <v>20000</v>
      </c>
      <c r="I47" s="20" t="s">
        <v>34</v>
      </c>
      <c r="J47" s="19" t="s">
        <v>111</v>
      </c>
    </row>
    <row r="48" customFormat="false" ht="21.75" hidden="false" customHeight="true" outlineLevel="0" collapsed="false">
      <c r="A48" s="18" t="n">
        <f aca="false">IF(E48="","",COUNTA(E$15:E48))</f>
        <v>34</v>
      </c>
      <c r="B48" s="19" t="n">
        <v>2026</v>
      </c>
      <c r="C48" s="20" t="s">
        <v>36</v>
      </c>
      <c r="D48" s="20" t="s">
        <v>41</v>
      </c>
      <c r="E48" s="20" t="s">
        <v>112</v>
      </c>
      <c r="F48" s="20" t="s">
        <v>41</v>
      </c>
      <c r="G48" s="20" t="s">
        <v>33</v>
      </c>
      <c r="H48" s="21" t="n">
        <v>45000</v>
      </c>
      <c r="I48" s="20" t="s">
        <v>34</v>
      </c>
      <c r="J48" s="19" t="s">
        <v>113</v>
      </c>
    </row>
    <row r="49" customFormat="false" ht="21.75" hidden="false" customHeight="true" outlineLevel="0" collapsed="false">
      <c r="A49" s="18" t="n">
        <f aca="false">IF(E49="","",COUNTA(E$15:E49))</f>
        <v>35</v>
      </c>
      <c r="B49" s="19" t="n">
        <v>2026</v>
      </c>
      <c r="C49" s="20" t="s">
        <v>29</v>
      </c>
      <c r="D49" s="20" t="s">
        <v>41</v>
      </c>
      <c r="E49" s="20" t="s">
        <v>114</v>
      </c>
      <c r="F49" s="20" t="s">
        <v>41</v>
      </c>
      <c r="G49" s="20" t="s">
        <v>33</v>
      </c>
      <c r="H49" s="21" t="n">
        <v>50000</v>
      </c>
      <c r="I49" s="20" t="s">
        <v>34</v>
      </c>
      <c r="J49" s="19" t="s">
        <v>115</v>
      </c>
    </row>
    <row r="50" customFormat="false" ht="21.75" hidden="false" customHeight="true" outlineLevel="0" collapsed="false">
      <c r="A50" s="18" t="n">
        <f aca="false">IF(E50="","",COUNTA(E$15:E50))</f>
        <v>36</v>
      </c>
      <c r="B50" s="19" t="n">
        <v>2026</v>
      </c>
      <c r="C50" s="20" t="s">
        <v>29</v>
      </c>
      <c r="D50" s="20" t="s">
        <v>41</v>
      </c>
      <c r="E50" s="20" t="s">
        <v>116</v>
      </c>
      <c r="F50" s="20" t="s">
        <v>41</v>
      </c>
      <c r="G50" s="20" t="s">
        <v>33</v>
      </c>
      <c r="H50" s="21" t="n">
        <v>50000</v>
      </c>
      <c r="I50" s="20" t="s">
        <v>34</v>
      </c>
      <c r="J50" s="19" t="s">
        <v>117</v>
      </c>
    </row>
    <row r="51" customFormat="false" ht="21.75" hidden="false" customHeight="true" outlineLevel="0" collapsed="false">
      <c r="A51" s="18" t="n">
        <f aca="false">IF(E51="","",COUNTA(E$15:E51))</f>
        <v>37</v>
      </c>
      <c r="B51" s="19" t="n">
        <v>2026</v>
      </c>
      <c r="C51" s="20" t="s">
        <v>29</v>
      </c>
      <c r="D51" s="20" t="s">
        <v>41</v>
      </c>
      <c r="E51" s="20" t="s">
        <v>118</v>
      </c>
      <c r="F51" s="20" t="s">
        <v>41</v>
      </c>
      <c r="G51" s="20" t="s">
        <v>33</v>
      </c>
      <c r="H51" s="21" t="n">
        <v>30000</v>
      </c>
      <c r="I51" s="20" t="s">
        <v>34</v>
      </c>
      <c r="J51" s="19" t="s">
        <v>119</v>
      </c>
    </row>
    <row r="52" customFormat="false" ht="21.75" hidden="false" customHeight="true" outlineLevel="0" collapsed="false">
      <c r="A52" s="18" t="n">
        <f aca="false">IF(E52="","",COUNTA(E$15:E52))</f>
        <v>38</v>
      </c>
      <c r="B52" s="19" t="n">
        <v>2026</v>
      </c>
      <c r="C52" s="20" t="s">
        <v>29</v>
      </c>
      <c r="D52" s="20" t="s">
        <v>41</v>
      </c>
      <c r="E52" s="20" t="s">
        <v>120</v>
      </c>
      <c r="F52" s="20" t="s">
        <v>41</v>
      </c>
      <c r="G52" s="20" t="s">
        <v>33</v>
      </c>
      <c r="H52" s="21" t="n">
        <v>50000</v>
      </c>
      <c r="I52" s="20" t="s">
        <v>34</v>
      </c>
      <c r="J52" s="19" t="s">
        <v>121</v>
      </c>
    </row>
    <row r="53" customFormat="false" ht="21.75" hidden="false" customHeight="true" outlineLevel="0" collapsed="false">
      <c r="A53" s="18" t="n">
        <f aca="false">IF(E53="","",COUNTA(E$15:E53))</f>
        <v>39</v>
      </c>
      <c r="B53" s="19" t="n">
        <v>2026</v>
      </c>
      <c r="C53" s="20" t="s">
        <v>29</v>
      </c>
      <c r="D53" s="20" t="s">
        <v>41</v>
      </c>
      <c r="E53" s="20" t="s">
        <v>122</v>
      </c>
      <c r="F53" s="20" t="s">
        <v>41</v>
      </c>
      <c r="G53" s="20" t="s">
        <v>33</v>
      </c>
      <c r="H53" s="21" t="n">
        <v>20000</v>
      </c>
      <c r="I53" s="20" t="s">
        <v>34</v>
      </c>
      <c r="J53" s="19" t="s">
        <v>123</v>
      </c>
    </row>
    <row r="54" customFormat="false" ht="21.75" hidden="false" customHeight="true" outlineLevel="0" collapsed="false">
      <c r="A54" s="18" t="n">
        <f aca="false">IF(E54="","",COUNTA(E$15:E54))</f>
        <v>40</v>
      </c>
      <c r="B54" s="19" t="n">
        <v>2026</v>
      </c>
      <c r="C54" s="20" t="s">
        <v>36</v>
      </c>
      <c r="D54" s="20" t="s">
        <v>44</v>
      </c>
      <c r="E54" s="20" t="s">
        <v>124</v>
      </c>
      <c r="F54" s="20" t="s">
        <v>44</v>
      </c>
      <c r="G54" s="20" t="s">
        <v>33</v>
      </c>
      <c r="H54" s="21" t="n">
        <v>500</v>
      </c>
      <c r="I54" s="20" t="s">
        <v>34</v>
      </c>
      <c r="J54" s="19" t="s">
        <v>125</v>
      </c>
    </row>
    <row r="55" customFormat="false" ht="21.75" hidden="false" customHeight="true" outlineLevel="0" collapsed="false">
      <c r="A55" s="18" t="n">
        <f aca="false">IF(E55="","",COUNTA(E$15:E55))</f>
        <v>41</v>
      </c>
      <c r="B55" s="19" t="n">
        <v>2026</v>
      </c>
      <c r="C55" s="20" t="s">
        <v>36</v>
      </c>
      <c r="D55" s="20" t="s">
        <v>44</v>
      </c>
      <c r="E55" s="20" t="s">
        <v>126</v>
      </c>
      <c r="F55" s="20" t="s">
        <v>44</v>
      </c>
      <c r="G55" s="20" t="s">
        <v>33</v>
      </c>
      <c r="H55" s="21" t="n">
        <v>500</v>
      </c>
      <c r="I55" s="20" t="s">
        <v>34</v>
      </c>
      <c r="J55" s="19" t="s">
        <v>127</v>
      </c>
    </row>
    <row r="56" customFormat="false" ht="21.75" hidden="false" customHeight="true" outlineLevel="0" collapsed="false">
      <c r="A56" s="18" t="n">
        <f aca="false">IF(E56="","",COUNTA(E$15:E56))</f>
        <v>42</v>
      </c>
      <c r="B56" s="19" t="n">
        <v>2026</v>
      </c>
      <c r="C56" s="20" t="s">
        <v>36</v>
      </c>
      <c r="D56" s="20" t="s">
        <v>44</v>
      </c>
      <c r="E56" s="20" t="s">
        <v>128</v>
      </c>
      <c r="F56" s="20" t="s">
        <v>44</v>
      </c>
      <c r="G56" s="20" t="s">
        <v>33</v>
      </c>
      <c r="H56" s="21" t="n">
        <v>30000</v>
      </c>
      <c r="I56" s="20" t="s">
        <v>34</v>
      </c>
      <c r="J56" s="19" t="s">
        <v>129</v>
      </c>
    </row>
    <row r="57" customFormat="false" ht="21.75" hidden="false" customHeight="true" outlineLevel="0" collapsed="false">
      <c r="A57" s="18" t="n">
        <f aca="false">IF(E57="","",COUNTA(E$15:E57))</f>
        <v>43</v>
      </c>
      <c r="B57" s="19" t="n">
        <v>2026</v>
      </c>
      <c r="C57" s="20" t="s">
        <v>36</v>
      </c>
      <c r="D57" s="20" t="s">
        <v>44</v>
      </c>
      <c r="E57" s="20" t="s">
        <v>130</v>
      </c>
      <c r="F57" s="20" t="s">
        <v>44</v>
      </c>
      <c r="G57" s="20" t="s">
        <v>33</v>
      </c>
      <c r="H57" s="21" t="n">
        <v>2000</v>
      </c>
      <c r="I57" s="20" t="s">
        <v>34</v>
      </c>
      <c r="J57" s="19" t="s">
        <v>131</v>
      </c>
    </row>
    <row r="58" customFormat="false" ht="21.75" hidden="false" customHeight="true" outlineLevel="0" collapsed="false">
      <c r="A58" s="18" t="n">
        <f aca="false">IF(E58="","",COUNTA(E$15:E58))</f>
        <v>44</v>
      </c>
      <c r="B58" s="19" t="n">
        <v>2026</v>
      </c>
      <c r="C58" s="20" t="s">
        <v>36</v>
      </c>
      <c r="D58" s="20" t="s">
        <v>44</v>
      </c>
      <c r="E58" s="20" t="s">
        <v>132</v>
      </c>
      <c r="F58" s="20" t="s">
        <v>44</v>
      </c>
      <c r="G58" s="20" t="s">
        <v>33</v>
      </c>
      <c r="H58" s="21" t="n">
        <v>12000</v>
      </c>
      <c r="I58" s="20" t="s">
        <v>34</v>
      </c>
      <c r="J58" s="19" t="s">
        <v>133</v>
      </c>
    </row>
    <row r="59" customFormat="false" ht="21.75" hidden="false" customHeight="true" outlineLevel="0" collapsed="false">
      <c r="A59" s="18" t="n">
        <f aca="false">IF(E59="","",COUNTA(E$15:E59))</f>
        <v>45</v>
      </c>
      <c r="B59" s="19" t="n">
        <v>2026</v>
      </c>
      <c r="C59" s="20" t="s">
        <v>29</v>
      </c>
      <c r="D59" s="20" t="s">
        <v>44</v>
      </c>
      <c r="E59" s="20" t="s">
        <v>134</v>
      </c>
      <c r="F59" s="20" t="s">
        <v>44</v>
      </c>
      <c r="G59" s="20" t="s">
        <v>33</v>
      </c>
      <c r="H59" s="21" t="n">
        <v>20000</v>
      </c>
      <c r="I59" s="20" t="s">
        <v>34</v>
      </c>
      <c r="J59" s="19" t="s">
        <v>135</v>
      </c>
    </row>
    <row r="60" customFormat="false" ht="21.75" hidden="false" customHeight="true" outlineLevel="0" collapsed="false">
      <c r="A60" s="18" t="n">
        <f aca="false">IF(E60="","",COUNTA(E$15:E60))</f>
        <v>46</v>
      </c>
      <c r="B60" s="19" t="n">
        <v>2026</v>
      </c>
      <c r="C60" s="20" t="s">
        <v>29</v>
      </c>
      <c r="D60" s="20" t="s">
        <v>44</v>
      </c>
      <c r="E60" s="20" t="s">
        <v>136</v>
      </c>
      <c r="F60" s="20" t="s">
        <v>44</v>
      </c>
      <c r="G60" s="20" t="s">
        <v>33</v>
      </c>
      <c r="H60" s="21" t="n">
        <v>30000</v>
      </c>
      <c r="I60" s="20" t="s">
        <v>34</v>
      </c>
      <c r="J60" s="19" t="s">
        <v>137</v>
      </c>
    </row>
    <row r="61" customFormat="false" ht="21.75" hidden="false" customHeight="true" outlineLevel="0" collapsed="false">
      <c r="A61" s="18" t="n">
        <f aca="false">IF(E61="","",COUNTA(E$15:E61))</f>
        <v>47</v>
      </c>
      <c r="B61" s="19" t="n">
        <v>2026</v>
      </c>
      <c r="C61" s="20" t="s">
        <v>29</v>
      </c>
      <c r="D61" s="20" t="s">
        <v>44</v>
      </c>
      <c r="E61" s="20" t="s">
        <v>138</v>
      </c>
      <c r="F61" s="20" t="s">
        <v>44</v>
      </c>
      <c r="G61" s="20" t="s">
        <v>33</v>
      </c>
      <c r="H61" s="21" t="n">
        <v>25000</v>
      </c>
      <c r="I61" s="20" t="s">
        <v>34</v>
      </c>
      <c r="J61" s="19" t="s">
        <v>139</v>
      </c>
    </row>
    <row r="62" customFormat="false" ht="21.75" hidden="false" customHeight="true" outlineLevel="0" collapsed="false">
      <c r="A62" s="18" t="n">
        <f aca="false">IF(E62="","",COUNTA(E$15:E62))</f>
        <v>48</v>
      </c>
      <c r="B62" s="19" t="n">
        <v>2026</v>
      </c>
      <c r="C62" s="20" t="s">
        <v>29</v>
      </c>
      <c r="D62" s="20" t="s">
        <v>44</v>
      </c>
      <c r="E62" s="20" t="s">
        <v>140</v>
      </c>
      <c r="F62" s="20" t="s">
        <v>44</v>
      </c>
      <c r="G62" s="20" t="s">
        <v>33</v>
      </c>
      <c r="H62" s="21" t="n">
        <v>20000</v>
      </c>
      <c r="I62" s="20" t="s">
        <v>34</v>
      </c>
      <c r="J62" s="19" t="s">
        <v>141</v>
      </c>
    </row>
    <row r="63" customFormat="false" ht="21.75" hidden="false" customHeight="true" outlineLevel="0" collapsed="false">
      <c r="A63" s="18" t="n">
        <f aca="false">IF(E63="","",COUNTA(E$15:E63))</f>
        <v>49</v>
      </c>
      <c r="B63" s="19" t="n">
        <v>2026</v>
      </c>
      <c r="C63" s="20" t="s">
        <v>29</v>
      </c>
      <c r="D63" s="20" t="s">
        <v>44</v>
      </c>
      <c r="E63" s="20" t="s">
        <v>142</v>
      </c>
      <c r="F63" s="20" t="s">
        <v>44</v>
      </c>
      <c r="G63" s="20" t="s">
        <v>33</v>
      </c>
      <c r="H63" s="21" t="n">
        <v>30000</v>
      </c>
      <c r="I63" s="20" t="s">
        <v>34</v>
      </c>
      <c r="J63" s="19" t="s">
        <v>143</v>
      </c>
    </row>
    <row r="64" customFormat="false" ht="21.75" hidden="false" customHeight="true" outlineLevel="0" collapsed="false">
      <c r="A64" s="18" t="n">
        <f aca="false">IF(E64="","",COUNTA(E$15:E64))</f>
        <v>50</v>
      </c>
      <c r="B64" s="19" t="n">
        <v>2026</v>
      </c>
      <c r="C64" s="20" t="s">
        <v>29</v>
      </c>
      <c r="D64" s="20" t="s">
        <v>44</v>
      </c>
      <c r="E64" s="20" t="s">
        <v>144</v>
      </c>
      <c r="F64" s="20" t="s">
        <v>44</v>
      </c>
      <c r="G64" s="20" t="s">
        <v>33</v>
      </c>
      <c r="H64" s="21" t="n">
        <v>30000</v>
      </c>
      <c r="I64" s="20" t="s">
        <v>34</v>
      </c>
      <c r="J64" s="19" t="s">
        <v>145</v>
      </c>
    </row>
    <row r="65" customFormat="false" ht="21.75" hidden="false" customHeight="true" outlineLevel="0" collapsed="false">
      <c r="A65" s="18" t="n">
        <f aca="false">IF(E65="","",COUNTA(E$15:E65))</f>
        <v>51</v>
      </c>
      <c r="B65" s="19" t="n">
        <v>2026</v>
      </c>
      <c r="C65" s="20" t="s">
        <v>29</v>
      </c>
      <c r="D65" s="20" t="s">
        <v>44</v>
      </c>
      <c r="E65" s="20" t="s">
        <v>146</v>
      </c>
      <c r="F65" s="20" t="s">
        <v>44</v>
      </c>
      <c r="G65" s="20" t="s">
        <v>33</v>
      </c>
      <c r="H65" s="21" t="n">
        <v>20000</v>
      </c>
      <c r="I65" s="20" t="s">
        <v>34</v>
      </c>
      <c r="J65" s="19" t="s">
        <v>147</v>
      </c>
    </row>
    <row r="66" customFormat="false" ht="21.75" hidden="false" customHeight="true" outlineLevel="0" collapsed="false">
      <c r="A66" s="18" t="n">
        <f aca="false">IF(E66="","",COUNTA(E$15:E66))</f>
        <v>52</v>
      </c>
      <c r="B66" s="19" t="n">
        <v>2026</v>
      </c>
      <c r="C66" s="20" t="s">
        <v>29</v>
      </c>
      <c r="D66" s="20" t="s">
        <v>44</v>
      </c>
      <c r="E66" s="20" t="s">
        <v>148</v>
      </c>
      <c r="F66" s="20" t="s">
        <v>44</v>
      </c>
      <c r="G66" s="20" t="s">
        <v>33</v>
      </c>
      <c r="H66" s="21" t="n">
        <v>25000</v>
      </c>
      <c r="I66" s="20" t="s">
        <v>34</v>
      </c>
      <c r="J66" s="19" t="s">
        <v>149</v>
      </c>
    </row>
    <row r="67" customFormat="false" ht="21.75" hidden="false" customHeight="true" outlineLevel="0" collapsed="false">
      <c r="A67" s="18" t="n">
        <f aca="false">IF(E67="","",COUNTA(E$15:E67))</f>
        <v>53</v>
      </c>
      <c r="B67" s="19" t="n">
        <v>2026</v>
      </c>
      <c r="C67" s="20" t="s">
        <v>29</v>
      </c>
      <c r="D67" s="20" t="s">
        <v>44</v>
      </c>
      <c r="E67" s="20" t="s">
        <v>150</v>
      </c>
      <c r="F67" s="20" t="s">
        <v>44</v>
      </c>
      <c r="G67" s="20" t="s">
        <v>33</v>
      </c>
      <c r="H67" s="21" t="n">
        <v>30000</v>
      </c>
      <c r="I67" s="20" t="s">
        <v>34</v>
      </c>
      <c r="J67" s="19" t="s">
        <v>151</v>
      </c>
    </row>
    <row r="68" customFormat="false" ht="21.75" hidden="false" customHeight="true" outlineLevel="0" collapsed="false">
      <c r="A68" s="18" t="n">
        <f aca="false">IF(E68="","",COUNTA(E$15:E68))</f>
        <v>54</v>
      </c>
      <c r="B68" s="19" t="n">
        <v>2026</v>
      </c>
      <c r="C68" s="20" t="s">
        <v>36</v>
      </c>
      <c r="D68" s="20" t="s">
        <v>47</v>
      </c>
      <c r="E68" s="20" t="s">
        <v>152</v>
      </c>
      <c r="F68" s="20" t="s">
        <v>47</v>
      </c>
      <c r="G68" s="20" t="s">
        <v>33</v>
      </c>
      <c r="H68" s="21" t="n">
        <v>45000</v>
      </c>
      <c r="I68" s="20" t="s">
        <v>34</v>
      </c>
      <c r="J68" s="19" t="s">
        <v>153</v>
      </c>
    </row>
    <row r="69" customFormat="false" ht="21.75" hidden="false" customHeight="true" outlineLevel="0" collapsed="false">
      <c r="A69" s="18" t="n">
        <f aca="false">IF(E69="","",COUNTA(E$15:E69))</f>
        <v>55</v>
      </c>
      <c r="B69" s="19" t="n">
        <v>2026</v>
      </c>
      <c r="C69" s="20" t="s">
        <v>29</v>
      </c>
      <c r="D69" s="20" t="s">
        <v>47</v>
      </c>
      <c r="E69" s="20" t="s">
        <v>154</v>
      </c>
      <c r="F69" s="20" t="s">
        <v>47</v>
      </c>
      <c r="G69" s="20" t="s">
        <v>33</v>
      </c>
      <c r="H69" s="21" t="n">
        <v>25000</v>
      </c>
      <c r="I69" s="20" t="s">
        <v>34</v>
      </c>
      <c r="J69" s="19" t="s">
        <v>155</v>
      </c>
    </row>
    <row r="70" customFormat="false" ht="21.75" hidden="false" customHeight="true" outlineLevel="0" collapsed="false">
      <c r="A70" s="18" t="n">
        <f aca="false">IF(E70="","",COUNTA(E$15:E70))</f>
        <v>56</v>
      </c>
      <c r="B70" s="19" t="n">
        <v>2026</v>
      </c>
      <c r="C70" s="20" t="s">
        <v>29</v>
      </c>
      <c r="D70" s="20" t="s">
        <v>47</v>
      </c>
      <c r="E70" s="20" t="s">
        <v>156</v>
      </c>
      <c r="F70" s="20" t="s">
        <v>47</v>
      </c>
      <c r="G70" s="20" t="s">
        <v>33</v>
      </c>
      <c r="H70" s="21" t="n">
        <v>25000</v>
      </c>
      <c r="I70" s="20" t="s">
        <v>34</v>
      </c>
      <c r="J70" s="19" t="s">
        <v>157</v>
      </c>
    </row>
    <row r="71" customFormat="false" ht="21.75" hidden="false" customHeight="true" outlineLevel="0" collapsed="false">
      <c r="A71" s="18" t="n">
        <f aca="false">IF(E71="","",COUNTA(E$15:E71))</f>
        <v>57</v>
      </c>
      <c r="B71" s="19" t="n">
        <v>2026</v>
      </c>
      <c r="C71" s="20" t="s">
        <v>29</v>
      </c>
      <c r="D71" s="20" t="s">
        <v>47</v>
      </c>
      <c r="E71" s="20" t="s">
        <v>158</v>
      </c>
      <c r="F71" s="20" t="s">
        <v>47</v>
      </c>
      <c r="G71" s="20" t="s">
        <v>33</v>
      </c>
      <c r="H71" s="21" t="n">
        <v>25000</v>
      </c>
      <c r="I71" s="20" t="s">
        <v>34</v>
      </c>
      <c r="J71" s="19" t="s">
        <v>159</v>
      </c>
    </row>
    <row r="72" customFormat="false" ht="21.75" hidden="false" customHeight="true" outlineLevel="0" collapsed="false">
      <c r="A72" s="18" t="n">
        <f aca="false">IF(E72="","",COUNTA(E$15:E72))</f>
        <v>58</v>
      </c>
      <c r="B72" s="19" t="n">
        <v>2026</v>
      </c>
      <c r="C72" s="20" t="s">
        <v>29</v>
      </c>
      <c r="D72" s="20" t="s">
        <v>47</v>
      </c>
      <c r="E72" s="20" t="s">
        <v>160</v>
      </c>
      <c r="F72" s="20" t="s">
        <v>47</v>
      </c>
      <c r="G72" s="20" t="s">
        <v>33</v>
      </c>
      <c r="H72" s="21" t="n">
        <v>25000</v>
      </c>
      <c r="I72" s="20" t="s">
        <v>34</v>
      </c>
      <c r="J72" s="19" t="s">
        <v>161</v>
      </c>
    </row>
    <row r="73" customFormat="false" ht="21.75" hidden="false" customHeight="true" outlineLevel="0" collapsed="false">
      <c r="A73" s="18" t="n">
        <f aca="false">IF(E73="","",COUNTA(E$15:E73))</f>
        <v>59</v>
      </c>
      <c r="B73" s="19" t="n">
        <v>2026</v>
      </c>
      <c r="C73" s="20" t="s">
        <v>29</v>
      </c>
      <c r="D73" s="20" t="s">
        <v>47</v>
      </c>
      <c r="E73" s="20" t="s">
        <v>162</v>
      </c>
      <c r="F73" s="20" t="s">
        <v>47</v>
      </c>
      <c r="G73" s="20" t="s">
        <v>33</v>
      </c>
      <c r="H73" s="21" t="n">
        <v>20000</v>
      </c>
      <c r="I73" s="20" t="s">
        <v>34</v>
      </c>
      <c r="J73" s="19" t="s">
        <v>163</v>
      </c>
    </row>
    <row r="74" customFormat="false" ht="21.75" hidden="false" customHeight="true" outlineLevel="0" collapsed="false">
      <c r="A74" s="18" t="n">
        <f aca="false">IF(E74="","",COUNTA(E$15:E74))</f>
        <v>60</v>
      </c>
      <c r="B74" s="19" t="n">
        <v>2026</v>
      </c>
      <c r="C74" s="20" t="s">
        <v>29</v>
      </c>
      <c r="D74" s="20" t="s">
        <v>47</v>
      </c>
      <c r="E74" s="20" t="s">
        <v>164</v>
      </c>
      <c r="F74" s="20" t="s">
        <v>47</v>
      </c>
      <c r="G74" s="20" t="s">
        <v>33</v>
      </c>
      <c r="H74" s="21" t="n">
        <v>20000</v>
      </c>
      <c r="I74" s="20" t="s">
        <v>34</v>
      </c>
      <c r="J74" s="19" t="s">
        <v>165</v>
      </c>
    </row>
    <row r="75" customFormat="false" ht="21.75" hidden="false" customHeight="true" outlineLevel="0" collapsed="false">
      <c r="A75" s="18" t="n">
        <f aca="false">IF(E75="","",COUNTA(E$15:E75))</f>
        <v>61</v>
      </c>
      <c r="B75" s="19" t="n">
        <v>2026</v>
      </c>
      <c r="C75" s="20" t="s">
        <v>29</v>
      </c>
      <c r="D75" s="20" t="s">
        <v>47</v>
      </c>
      <c r="E75" s="20" t="s">
        <v>166</v>
      </c>
      <c r="F75" s="20" t="s">
        <v>47</v>
      </c>
      <c r="G75" s="20" t="s">
        <v>33</v>
      </c>
      <c r="H75" s="21" t="n">
        <v>25000</v>
      </c>
      <c r="I75" s="20" t="s">
        <v>34</v>
      </c>
      <c r="J75" s="19" t="s">
        <v>167</v>
      </c>
    </row>
    <row r="76" customFormat="false" ht="21.75" hidden="false" customHeight="true" outlineLevel="0" collapsed="false">
      <c r="A76" s="18" t="n">
        <f aca="false">IF(E76="","",COUNTA(E$15:E76))</f>
        <v>62</v>
      </c>
      <c r="B76" s="19" t="n">
        <v>2026</v>
      </c>
      <c r="C76" s="20" t="s">
        <v>29</v>
      </c>
      <c r="D76" s="20" t="s">
        <v>47</v>
      </c>
      <c r="E76" s="20" t="s">
        <v>168</v>
      </c>
      <c r="F76" s="20" t="s">
        <v>47</v>
      </c>
      <c r="G76" s="20" t="s">
        <v>33</v>
      </c>
      <c r="H76" s="21" t="n">
        <v>25000</v>
      </c>
      <c r="I76" s="20" t="s">
        <v>34</v>
      </c>
      <c r="J76" s="19" t="s">
        <v>169</v>
      </c>
    </row>
    <row r="77" customFormat="false" ht="21.75" hidden="false" customHeight="true" outlineLevel="0" collapsed="false">
      <c r="A77" s="18" t="n">
        <f aca="false">IF(E77="","",COUNTA(E$15:E77))</f>
        <v>63</v>
      </c>
      <c r="B77" s="19" t="n">
        <v>2026</v>
      </c>
      <c r="C77" s="20" t="s">
        <v>29</v>
      </c>
      <c r="D77" s="20" t="s">
        <v>47</v>
      </c>
      <c r="E77" s="20" t="s">
        <v>170</v>
      </c>
      <c r="F77" s="20" t="s">
        <v>47</v>
      </c>
      <c r="G77" s="20" t="s">
        <v>33</v>
      </c>
      <c r="H77" s="21" t="n">
        <v>25000</v>
      </c>
      <c r="I77" s="20" t="s">
        <v>34</v>
      </c>
      <c r="J77" s="19" t="s">
        <v>171</v>
      </c>
    </row>
    <row r="78" customFormat="false" ht="21.75" hidden="false" customHeight="true" outlineLevel="0" collapsed="false">
      <c r="A78" s="18" t="n">
        <f aca="false">IF(E78="","",COUNTA(E$15:E78))</f>
        <v>64</v>
      </c>
      <c r="B78" s="19" t="n">
        <v>2026</v>
      </c>
      <c r="C78" s="20" t="s">
        <v>29</v>
      </c>
      <c r="D78" s="20" t="s">
        <v>47</v>
      </c>
      <c r="E78" s="20" t="s">
        <v>172</v>
      </c>
      <c r="F78" s="20" t="s">
        <v>47</v>
      </c>
      <c r="G78" s="20" t="s">
        <v>33</v>
      </c>
      <c r="H78" s="21" t="n">
        <v>25000</v>
      </c>
      <c r="I78" s="20" t="s">
        <v>34</v>
      </c>
      <c r="J78" s="19" t="s">
        <v>173</v>
      </c>
    </row>
    <row r="79" customFormat="false" ht="21.75" hidden="false" customHeight="true" outlineLevel="0" collapsed="false">
      <c r="A79" s="18" t="n">
        <f aca="false">IF(E79="","",COUNTA(E$15:E79))</f>
        <v>65</v>
      </c>
      <c r="B79" s="19" t="n">
        <v>2026</v>
      </c>
      <c r="C79" s="20" t="s">
        <v>29</v>
      </c>
      <c r="D79" s="20" t="s">
        <v>47</v>
      </c>
      <c r="E79" s="20" t="s">
        <v>174</v>
      </c>
      <c r="F79" s="20" t="s">
        <v>47</v>
      </c>
      <c r="G79" s="20" t="s">
        <v>33</v>
      </c>
      <c r="H79" s="21" t="n">
        <v>20000</v>
      </c>
      <c r="I79" s="20" t="s">
        <v>34</v>
      </c>
      <c r="J79" s="19" t="s">
        <v>175</v>
      </c>
    </row>
    <row r="80" customFormat="false" ht="21.75" hidden="false" customHeight="true" outlineLevel="0" collapsed="false">
      <c r="A80" s="18" t="n">
        <f aca="false">IF(E80="","",COUNTA(E$15:E80))</f>
        <v>66</v>
      </c>
      <c r="B80" s="19" t="n">
        <v>2026</v>
      </c>
      <c r="C80" s="20" t="s">
        <v>29</v>
      </c>
      <c r="D80" s="20" t="s">
        <v>47</v>
      </c>
      <c r="E80" s="20" t="s">
        <v>176</v>
      </c>
      <c r="F80" s="20" t="s">
        <v>47</v>
      </c>
      <c r="G80" s="20" t="s">
        <v>33</v>
      </c>
      <c r="H80" s="21" t="n">
        <v>20000</v>
      </c>
      <c r="I80" s="20" t="s">
        <v>34</v>
      </c>
      <c r="J80" s="19" t="s">
        <v>177</v>
      </c>
    </row>
    <row r="81" customFormat="false" ht="21.75" hidden="false" customHeight="true" outlineLevel="0" collapsed="false">
      <c r="A81" s="18" t="n">
        <f aca="false">IF(E81="","",COUNTA(E$15:E81))</f>
        <v>67</v>
      </c>
      <c r="B81" s="19" t="n">
        <v>2026</v>
      </c>
      <c r="C81" s="20" t="s">
        <v>36</v>
      </c>
      <c r="D81" s="20" t="s">
        <v>50</v>
      </c>
      <c r="E81" s="20" t="s">
        <v>178</v>
      </c>
      <c r="F81" s="20" t="s">
        <v>50</v>
      </c>
      <c r="G81" s="20" t="s">
        <v>33</v>
      </c>
      <c r="H81" s="21" t="n">
        <v>10000</v>
      </c>
      <c r="I81" s="20" t="s">
        <v>34</v>
      </c>
      <c r="J81" s="19" t="s">
        <v>179</v>
      </c>
    </row>
    <row r="82" customFormat="false" ht="21.75" hidden="false" customHeight="true" outlineLevel="0" collapsed="false">
      <c r="A82" s="18" t="n">
        <f aca="false">IF(E82="","",COUNTA(E$15:E82))</f>
        <v>68</v>
      </c>
      <c r="B82" s="19" t="n">
        <v>2026</v>
      </c>
      <c r="C82" s="20" t="s">
        <v>36</v>
      </c>
      <c r="D82" s="20" t="s">
        <v>50</v>
      </c>
      <c r="E82" s="20" t="s">
        <v>180</v>
      </c>
      <c r="F82" s="20" t="s">
        <v>50</v>
      </c>
      <c r="G82" s="20" t="s">
        <v>33</v>
      </c>
      <c r="H82" s="21" t="n">
        <v>15000</v>
      </c>
      <c r="I82" s="20" t="s">
        <v>34</v>
      </c>
      <c r="J82" s="19" t="s">
        <v>181</v>
      </c>
    </row>
    <row r="83" customFormat="false" ht="21.75" hidden="false" customHeight="true" outlineLevel="0" collapsed="false">
      <c r="A83" s="18" t="n">
        <f aca="false">IF(E83="","",COUNTA(E$15:E83))</f>
        <v>69</v>
      </c>
      <c r="B83" s="19" t="n">
        <v>2026</v>
      </c>
      <c r="C83" s="20" t="s">
        <v>36</v>
      </c>
      <c r="D83" s="20" t="s">
        <v>50</v>
      </c>
      <c r="E83" s="20" t="s">
        <v>182</v>
      </c>
      <c r="F83" s="20" t="s">
        <v>50</v>
      </c>
      <c r="G83" s="20" t="s">
        <v>33</v>
      </c>
      <c r="H83" s="21" t="n">
        <v>20000</v>
      </c>
      <c r="I83" s="20" t="s">
        <v>34</v>
      </c>
      <c r="J83" s="19" t="s">
        <v>183</v>
      </c>
    </row>
    <row r="84" customFormat="false" ht="21.75" hidden="false" customHeight="true" outlineLevel="0" collapsed="false">
      <c r="A84" s="18" t="n">
        <f aca="false">IF(E84="","",COUNTA(E$15:E84))</f>
        <v>70</v>
      </c>
      <c r="B84" s="19" t="n">
        <v>2026</v>
      </c>
      <c r="C84" s="20" t="s">
        <v>29</v>
      </c>
      <c r="D84" s="20" t="s">
        <v>50</v>
      </c>
      <c r="E84" s="20" t="s">
        <v>184</v>
      </c>
      <c r="F84" s="20" t="s">
        <v>50</v>
      </c>
      <c r="G84" s="20" t="s">
        <v>33</v>
      </c>
      <c r="H84" s="21" t="n">
        <v>30000</v>
      </c>
      <c r="I84" s="20" t="s">
        <v>34</v>
      </c>
      <c r="J84" s="19" t="s">
        <v>185</v>
      </c>
    </row>
    <row r="85" customFormat="false" ht="21.75" hidden="false" customHeight="true" outlineLevel="0" collapsed="false">
      <c r="A85" s="18" t="n">
        <f aca="false">IF(E85="","",COUNTA(E$15:E85))</f>
        <v>71</v>
      </c>
      <c r="B85" s="19" t="n">
        <v>2026</v>
      </c>
      <c r="C85" s="20" t="s">
        <v>29</v>
      </c>
      <c r="D85" s="20" t="s">
        <v>50</v>
      </c>
      <c r="E85" s="20" t="s">
        <v>186</v>
      </c>
      <c r="F85" s="20" t="s">
        <v>50</v>
      </c>
      <c r="G85" s="20" t="s">
        <v>33</v>
      </c>
      <c r="H85" s="21" t="n">
        <v>30000</v>
      </c>
      <c r="I85" s="20" t="s">
        <v>34</v>
      </c>
      <c r="J85" s="19" t="s">
        <v>187</v>
      </c>
    </row>
    <row r="86" customFormat="false" ht="21.75" hidden="false" customHeight="true" outlineLevel="0" collapsed="false">
      <c r="A86" s="18" t="n">
        <f aca="false">IF(E86="","",COUNTA(E$15:E86))</f>
        <v>72</v>
      </c>
      <c r="B86" s="19" t="n">
        <v>2026</v>
      </c>
      <c r="C86" s="20" t="s">
        <v>29</v>
      </c>
      <c r="D86" s="20" t="s">
        <v>50</v>
      </c>
      <c r="E86" s="20" t="s">
        <v>188</v>
      </c>
      <c r="F86" s="20" t="s">
        <v>50</v>
      </c>
      <c r="G86" s="20" t="s">
        <v>33</v>
      </c>
      <c r="H86" s="21" t="n">
        <v>30000</v>
      </c>
      <c r="I86" s="20" t="s">
        <v>34</v>
      </c>
      <c r="J86" s="19" t="s">
        <v>189</v>
      </c>
    </row>
    <row r="87" customFormat="false" ht="21.75" hidden="false" customHeight="true" outlineLevel="0" collapsed="false">
      <c r="A87" s="18" t="n">
        <f aca="false">IF(E87="","",COUNTA(E$15:E87))</f>
        <v>73</v>
      </c>
      <c r="B87" s="19" t="n">
        <v>2026</v>
      </c>
      <c r="C87" s="20" t="s">
        <v>29</v>
      </c>
      <c r="D87" s="20" t="s">
        <v>50</v>
      </c>
      <c r="E87" s="20" t="s">
        <v>190</v>
      </c>
      <c r="F87" s="20" t="s">
        <v>50</v>
      </c>
      <c r="G87" s="20" t="s">
        <v>33</v>
      </c>
      <c r="H87" s="21" t="n">
        <v>30000</v>
      </c>
      <c r="I87" s="20" t="s">
        <v>34</v>
      </c>
      <c r="J87" s="19" t="s">
        <v>191</v>
      </c>
    </row>
    <row r="88" customFormat="false" ht="21.75" hidden="false" customHeight="true" outlineLevel="0" collapsed="false">
      <c r="A88" s="18" t="n">
        <f aca="false">IF(E88="","",COUNTA(E$15:E88))</f>
        <v>74</v>
      </c>
      <c r="B88" s="19" t="n">
        <v>2026</v>
      </c>
      <c r="C88" s="20" t="s">
        <v>29</v>
      </c>
      <c r="D88" s="20" t="s">
        <v>50</v>
      </c>
      <c r="E88" s="20" t="s">
        <v>192</v>
      </c>
      <c r="F88" s="20" t="s">
        <v>50</v>
      </c>
      <c r="G88" s="20" t="s">
        <v>33</v>
      </c>
      <c r="H88" s="21" t="n">
        <v>30000</v>
      </c>
      <c r="I88" s="20" t="s">
        <v>34</v>
      </c>
      <c r="J88" s="19" t="s">
        <v>193</v>
      </c>
    </row>
    <row r="89" customFormat="false" ht="21.75" hidden="false" customHeight="true" outlineLevel="0" collapsed="false">
      <c r="A89" s="18" t="n">
        <f aca="false">IF(E89="","",COUNTA(E$15:E89))</f>
        <v>75</v>
      </c>
      <c r="B89" s="19" t="n">
        <v>2026</v>
      </c>
      <c r="C89" s="20" t="s">
        <v>29</v>
      </c>
      <c r="D89" s="20" t="s">
        <v>50</v>
      </c>
      <c r="E89" s="20" t="s">
        <v>194</v>
      </c>
      <c r="F89" s="20" t="s">
        <v>50</v>
      </c>
      <c r="G89" s="20" t="s">
        <v>33</v>
      </c>
      <c r="H89" s="21" t="n">
        <v>30000</v>
      </c>
      <c r="I89" s="20" t="s">
        <v>34</v>
      </c>
      <c r="J89" s="19" t="s">
        <v>195</v>
      </c>
    </row>
    <row r="90" customFormat="false" ht="21.75" hidden="false" customHeight="true" outlineLevel="0" collapsed="false">
      <c r="A90" s="18" t="n">
        <f aca="false">IF(E90="","",COUNTA(E$15:E90))</f>
        <v>76</v>
      </c>
      <c r="B90" s="19" t="n">
        <v>2026</v>
      </c>
      <c r="C90" s="20" t="s">
        <v>29</v>
      </c>
      <c r="D90" s="20" t="s">
        <v>50</v>
      </c>
      <c r="E90" s="20" t="s">
        <v>196</v>
      </c>
      <c r="F90" s="20" t="s">
        <v>50</v>
      </c>
      <c r="G90" s="20" t="s">
        <v>33</v>
      </c>
      <c r="H90" s="21" t="n">
        <v>30000</v>
      </c>
      <c r="I90" s="20" t="s">
        <v>34</v>
      </c>
      <c r="J90" s="19" t="s">
        <v>197</v>
      </c>
    </row>
    <row r="91" customFormat="false" ht="21.75" hidden="false" customHeight="true" outlineLevel="0" collapsed="false">
      <c r="A91" s="18" t="n">
        <f aca="false">IF(E91="","",COUNTA(E$15:E91))</f>
        <v>77</v>
      </c>
      <c r="B91" s="19" t="n">
        <v>2026</v>
      </c>
      <c r="C91" s="20" t="s">
        <v>29</v>
      </c>
      <c r="D91" s="20" t="s">
        <v>50</v>
      </c>
      <c r="E91" s="20" t="s">
        <v>198</v>
      </c>
      <c r="F91" s="20" t="s">
        <v>50</v>
      </c>
      <c r="G91" s="20" t="s">
        <v>33</v>
      </c>
      <c r="H91" s="21" t="n">
        <v>30000</v>
      </c>
      <c r="I91" s="20" t="s">
        <v>34</v>
      </c>
      <c r="J91" s="19" t="s">
        <v>199</v>
      </c>
    </row>
    <row r="92" customFormat="false" ht="21.75" hidden="false" customHeight="true" outlineLevel="0" collapsed="false">
      <c r="A92" s="18" t="n">
        <f aca="false">IF(E92="","",COUNTA(E$15:E92))</f>
        <v>78</v>
      </c>
      <c r="B92" s="19" t="n">
        <v>2026</v>
      </c>
      <c r="C92" s="20" t="s">
        <v>29</v>
      </c>
      <c r="D92" s="20" t="s">
        <v>50</v>
      </c>
      <c r="E92" s="20" t="s">
        <v>200</v>
      </c>
      <c r="F92" s="20" t="s">
        <v>50</v>
      </c>
      <c r="G92" s="20" t="s">
        <v>33</v>
      </c>
      <c r="H92" s="21" t="n">
        <v>30000</v>
      </c>
      <c r="I92" s="20" t="s">
        <v>34</v>
      </c>
      <c r="J92" s="19" t="s">
        <v>201</v>
      </c>
    </row>
    <row r="93" customFormat="false" ht="21.75" hidden="false" customHeight="true" outlineLevel="0" collapsed="false">
      <c r="A93" s="18" t="n">
        <f aca="false">IF(E93="","",COUNTA(E$15:E93))</f>
        <v>79</v>
      </c>
      <c r="B93" s="19" t="n">
        <v>2026</v>
      </c>
      <c r="C93" s="20" t="s">
        <v>36</v>
      </c>
      <c r="D93" s="20" t="s">
        <v>53</v>
      </c>
      <c r="E93" s="20" t="s">
        <v>202</v>
      </c>
      <c r="F93" s="20" t="s">
        <v>53</v>
      </c>
      <c r="G93" s="20" t="s">
        <v>33</v>
      </c>
      <c r="H93" s="21" t="n">
        <v>40000</v>
      </c>
      <c r="I93" s="20" t="s">
        <v>34</v>
      </c>
      <c r="J93" s="19" t="s">
        <v>203</v>
      </c>
    </row>
    <row r="94" customFormat="false" ht="21.75" hidden="false" customHeight="true" outlineLevel="0" collapsed="false">
      <c r="A94" s="18" t="n">
        <f aca="false">IF(E94="","",COUNTA(E$15:E94))</f>
        <v>80</v>
      </c>
      <c r="B94" s="19" t="n">
        <v>2026</v>
      </c>
      <c r="C94" s="20" t="s">
        <v>36</v>
      </c>
      <c r="D94" s="20" t="s">
        <v>53</v>
      </c>
      <c r="E94" s="20" t="s">
        <v>204</v>
      </c>
      <c r="F94" s="20" t="s">
        <v>53</v>
      </c>
      <c r="G94" s="20" t="s">
        <v>33</v>
      </c>
      <c r="H94" s="21" t="n">
        <v>5000</v>
      </c>
      <c r="I94" s="20" t="s">
        <v>34</v>
      </c>
      <c r="J94" s="19" t="s">
        <v>205</v>
      </c>
    </row>
    <row r="95" customFormat="false" ht="21.75" hidden="false" customHeight="true" outlineLevel="0" collapsed="false">
      <c r="A95" s="18" t="n">
        <f aca="false">IF(E95="","",COUNTA(E$15:E95))</f>
        <v>81</v>
      </c>
      <c r="B95" s="19" t="n">
        <v>2026</v>
      </c>
      <c r="C95" s="20" t="s">
        <v>29</v>
      </c>
      <c r="D95" s="20" t="s">
        <v>53</v>
      </c>
      <c r="E95" s="20" t="s">
        <v>206</v>
      </c>
      <c r="F95" s="20" t="s">
        <v>53</v>
      </c>
      <c r="G95" s="20" t="s">
        <v>33</v>
      </c>
      <c r="H95" s="21" t="n">
        <v>40000</v>
      </c>
      <c r="I95" s="20" t="s">
        <v>34</v>
      </c>
      <c r="J95" s="19" t="s">
        <v>207</v>
      </c>
    </row>
    <row r="96" customFormat="false" ht="21.75" hidden="false" customHeight="true" outlineLevel="0" collapsed="false">
      <c r="A96" s="18" t="n">
        <f aca="false">IF(E96="","",COUNTA(E$15:E96))</f>
        <v>82</v>
      </c>
      <c r="B96" s="19" t="n">
        <v>2026</v>
      </c>
      <c r="C96" s="20" t="s">
        <v>29</v>
      </c>
      <c r="D96" s="20" t="s">
        <v>53</v>
      </c>
      <c r="E96" s="20" t="s">
        <v>208</v>
      </c>
      <c r="F96" s="20" t="s">
        <v>53</v>
      </c>
      <c r="G96" s="20" t="s">
        <v>33</v>
      </c>
      <c r="H96" s="21" t="n">
        <v>30000</v>
      </c>
      <c r="I96" s="20" t="s">
        <v>34</v>
      </c>
      <c r="J96" s="19" t="s">
        <v>209</v>
      </c>
    </row>
    <row r="97" customFormat="false" ht="21.75" hidden="false" customHeight="true" outlineLevel="0" collapsed="false">
      <c r="A97" s="18" t="n">
        <f aca="false">IF(E97="","",COUNTA(E$15:E97))</f>
        <v>83</v>
      </c>
      <c r="B97" s="19" t="n">
        <v>2026</v>
      </c>
      <c r="C97" s="20" t="s">
        <v>29</v>
      </c>
      <c r="D97" s="20" t="s">
        <v>53</v>
      </c>
      <c r="E97" s="20" t="s">
        <v>210</v>
      </c>
      <c r="F97" s="20" t="s">
        <v>53</v>
      </c>
      <c r="G97" s="20" t="s">
        <v>33</v>
      </c>
      <c r="H97" s="21" t="n">
        <v>30000</v>
      </c>
      <c r="I97" s="20" t="s">
        <v>34</v>
      </c>
      <c r="J97" s="19" t="s">
        <v>211</v>
      </c>
    </row>
    <row r="98" customFormat="false" ht="21.75" hidden="false" customHeight="true" outlineLevel="0" collapsed="false">
      <c r="A98" s="18" t="n">
        <f aca="false">IF(E98="","",COUNTA(E$15:E98))</f>
        <v>84</v>
      </c>
      <c r="B98" s="19" t="n">
        <v>2026</v>
      </c>
      <c r="C98" s="20" t="s">
        <v>29</v>
      </c>
      <c r="D98" s="20" t="s">
        <v>53</v>
      </c>
      <c r="E98" s="20" t="s">
        <v>212</v>
      </c>
      <c r="F98" s="20" t="s">
        <v>53</v>
      </c>
      <c r="G98" s="20" t="s">
        <v>33</v>
      </c>
      <c r="H98" s="21" t="n">
        <v>30000</v>
      </c>
      <c r="I98" s="20" t="s">
        <v>34</v>
      </c>
      <c r="J98" s="19" t="s">
        <v>213</v>
      </c>
    </row>
    <row r="99" customFormat="false" ht="21.75" hidden="false" customHeight="true" outlineLevel="0" collapsed="false">
      <c r="A99" s="18" t="n">
        <f aca="false">IF(E99="","",COUNTA(E$15:E99))</f>
        <v>85</v>
      </c>
      <c r="B99" s="19" t="n">
        <v>2026</v>
      </c>
      <c r="C99" s="20" t="s">
        <v>29</v>
      </c>
      <c r="D99" s="20" t="s">
        <v>53</v>
      </c>
      <c r="E99" s="20" t="s">
        <v>214</v>
      </c>
      <c r="F99" s="20" t="s">
        <v>53</v>
      </c>
      <c r="G99" s="20" t="s">
        <v>33</v>
      </c>
      <c r="H99" s="21" t="n">
        <v>30000</v>
      </c>
      <c r="I99" s="20" t="s">
        <v>34</v>
      </c>
      <c r="J99" s="19" t="s">
        <v>215</v>
      </c>
    </row>
    <row r="100" customFormat="false" ht="21.75" hidden="false" customHeight="true" outlineLevel="0" collapsed="false">
      <c r="A100" s="18" t="n">
        <f aca="false">IF(E100="","",COUNTA(E$15:E100))</f>
        <v>86</v>
      </c>
      <c r="B100" s="19" t="n">
        <v>2026</v>
      </c>
      <c r="C100" s="20" t="s">
        <v>29</v>
      </c>
      <c r="D100" s="20" t="s">
        <v>53</v>
      </c>
      <c r="E100" s="20" t="s">
        <v>216</v>
      </c>
      <c r="F100" s="20" t="s">
        <v>53</v>
      </c>
      <c r="G100" s="20" t="s">
        <v>33</v>
      </c>
      <c r="H100" s="21" t="n">
        <v>30000</v>
      </c>
      <c r="I100" s="20" t="s">
        <v>34</v>
      </c>
      <c r="J100" s="19" t="s">
        <v>217</v>
      </c>
    </row>
    <row r="101" customFormat="false" ht="21.75" hidden="false" customHeight="true" outlineLevel="0" collapsed="false">
      <c r="A101" s="18" t="n">
        <f aca="false">IF(E101="","",COUNTA(E$15:E101))</f>
        <v>87</v>
      </c>
      <c r="B101" s="19" t="n">
        <v>2026</v>
      </c>
      <c r="C101" s="20" t="s">
        <v>29</v>
      </c>
      <c r="D101" s="20" t="s">
        <v>53</v>
      </c>
      <c r="E101" s="20" t="s">
        <v>218</v>
      </c>
      <c r="F101" s="20" t="s">
        <v>53</v>
      </c>
      <c r="G101" s="20" t="s">
        <v>33</v>
      </c>
      <c r="H101" s="21" t="n">
        <v>30000</v>
      </c>
      <c r="I101" s="20" t="s">
        <v>34</v>
      </c>
      <c r="J101" s="19" t="s">
        <v>219</v>
      </c>
    </row>
    <row r="102" customFormat="false" ht="21.75" hidden="false" customHeight="true" outlineLevel="0" collapsed="false">
      <c r="A102" s="18" t="n">
        <f aca="false">IF(E102="","",COUNTA(E$15:E102))</f>
        <v>88</v>
      </c>
      <c r="B102" s="19" t="n">
        <v>2026</v>
      </c>
      <c r="C102" s="20" t="s">
        <v>29</v>
      </c>
      <c r="D102" s="20" t="s">
        <v>53</v>
      </c>
      <c r="E102" s="20" t="s">
        <v>220</v>
      </c>
      <c r="F102" s="20" t="s">
        <v>53</v>
      </c>
      <c r="G102" s="20" t="s">
        <v>33</v>
      </c>
      <c r="H102" s="21" t="n">
        <v>30000</v>
      </c>
      <c r="I102" s="20" t="s">
        <v>34</v>
      </c>
      <c r="J102" s="19" t="s">
        <v>221</v>
      </c>
    </row>
    <row r="103" customFormat="false" ht="21.75" hidden="false" customHeight="true" outlineLevel="0" collapsed="false">
      <c r="A103" s="18" t="n">
        <f aca="false">IF(E103="","",COUNTA(E$15:E103))</f>
        <v>89</v>
      </c>
      <c r="B103" s="19" t="n">
        <v>2026</v>
      </c>
      <c r="C103" s="20" t="s">
        <v>29</v>
      </c>
      <c r="D103" s="20" t="s">
        <v>53</v>
      </c>
      <c r="E103" s="20" t="s">
        <v>222</v>
      </c>
      <c r="F103" s="20" t="s">
        <v>53</v>
      </c>
      <c r="G103" s="20" t="s">
        <v>33</v>
      </c>
      <c r="H103" s="21" t="n">
        <v>30000</v>
      </c>
      <c r="I103" s="20" t="s">
        <v>34</v>
      </c>
      <c r="J103" s="19" t="s">
        <v>223</v>
      </c>
    </row>
    <row r="104" customFormat="false" ht="21.75" hidden="false" customHeight="true" outlineLevel="0" collapsed="false">
      <c r="A104" s="18" t="n">
        <f aca="false">IF(E104="","",COUNTA(E$15:E104))</f>
        <v>90</v>
      </c>
      <c r="B104" s="19" t="n">
        <v>2026</v>
      </c>
      <c r="C104" s="20" t="s">
        <v>36</v>
      </c>
      <c r="D104" s="20" t="s">
        <v>56</v>
      </c>
      <c r="E104" s="20" t="s">
        <v>224</v>
      </c>
      <c r="F104" s="20" t="s">
        <v>56</v>
      </c>
      <c r="G104" s="20" t="s">
        <v>33</v>
      </c>
      <c r="H104" s="21" t="n">
        <v>3000</v>
      </c>
      <c r="I104" s="20" t="s">
        <v>34</v>
      </c>
      <c r="J104" s="19" t="s">
        <v>225</v>
      </c>
    </row>
    <row r="105" customFormat="false" ht="21.75" hidden="false" customHeight="true" outlineLevel="0" collapsed="false">
      <c r="A105" s="18" t="n">
        <f aca="false">IF(E105="","",COUNTA(E$15:E105))</f>
        <v>91</v>
      </c>
      <c r="B105" s="19" t="n">
        <v>2026</v>
      </c>
      <c r="C105" s="20" t="s">
        <v>36</v>
      </c>
      <c r="D105" s="20" t="s">
        <v>56</v>
      </c>
      <c r="E105" s="20" t="s">
        <v>226</v>
      </c>
      <c r="F105" s="20" t="s">
        <v>56</v>
      </c>
      <c r="G105" s="20" t="s">
        <v>33</v>
      </c>
      <c r="H105" s="21" t="n">
        <v>10000</v>
      </c>
      <c r="I105" s="20" t="s">
        <v>34</v>
      </c>
      <c r="J105" s="19" t="s">
        <v>227</v>
      </c>
    </row>
    <row r="106" customFormat="false" ht="21.75" hidden="false" customHeight="true" outlineLevel="0" collapsed="false">
      <c r="A106" s="18" t="n">
        <f aca="false">IF(E106="","",COUNTA(E$15:E106))</f>
        <v>92</v>
      </c>
      <c r="B106" s="19" t="n">
        <v>2026</v>
      </c>
      <c r="C106" s="20" t="s">
        <v>36</v>
      </c>
      <c r="D106" s="20" t="s">
        <v>56</v>
      </c>
      <c r="E106" s="20" t="s">
        <v>228</v>
      </c>
      <c r="F106" s="20" t="s">
        <v>56</v>
      </c>
      <c r="G106" s="20" t="s">
        <v>33</v>
      </c>
      <c r="H106" s="21" t="n">
        <v>15000</v>
      </c>
      <c r="I106" s="20" t="s">
        <v>34</v>
      </c>
      <c r="J106" s="19" t="s">
        <v>229</v>
      </c>
    </row>
    <row r="107" customFormat="false" ht="21.75" hidden="false" customHeight="true" outlineLevel="0" collapsed="false">
      <c r="A107" s="18" t="n">
        <f aca="false">IF(E107="","",COUNTA(E$15:E107))</f>
        <v>93</v>
      </c>
      <c r="B107" s="19" t="n">
        <v>2026</v>
      </c>
      <c r="C107" s="20" t="s">
        <v>36</v>
      </c>
      <c r="D107" s="20" t="s">
        <v>56</v>
      </c>
      <c r="E107" s="20" t="s">
        <v>230</v>
      </c>
      <c r="F107" s="20" t="s">
        <v>56</v>
      </c>
      <c r="G107" s="20" t="s">
        <v>33</v>
      </c>
      <c r="H107" s="21" t="n">
        <v>5000</v>
      </c>
      <c r="I107" s="20" t="s">
        <v>34</v>
      </c>
      <c r="J107" s="19" t="s">
        <v>231</v>
      </c>
    </row>
    <row r="108" customFormat="false" ht="21.75" hidden="false" customHeight="true" outlineLevel="0" collapsed="false">
      <c r="A108" s="18" t="n">
        <f aca="false">IF(E108="","",COUNTA(E$15:E108))</f>
        <v>94</v>
      </c>
      <c r="B108" s="19" t="n">
        <v>2026</v>
      </c>
      <c r="C108" s="20" t="s">
        <v>36</v>
      </c>
      <c r="D108" s="20" t="s">
        <v>56</v>
      </c>
      <c r="E108" s="20" t="s">
        <v>232</v>
      </c>
      <c r="F108" s="20" t="s">
        <v>56</v>
      </c>
      <c r="G108" s="20" t="s">
        <v>33</v>
      </c>
      <c r="H108" s="21" t="n">
        <v>3000</v>
      </c>
      <c r="I108" s="20" t="s">
        <v>34</v>
      </c>
      <c r="J108" s="19" t="s">
        <v>233</v>
      </c>
    </row>
    <row r="109" customFormat="false" ht="21.75" hidden="false" customHeight="true" outlineLevel="0" collapsed="false">
      <c r="A109" s="18" t="n">
        <f aca="false">IF(E109="","",COUNTA(E$15:E109))</f>
        <v>95</v>
      </c>
      <c r="B109" s="19" t="n">
        <v>2026</v>
      </c>
      <c r="C109" s="20" t="s">
        <v>36</v>
      </c>
      <c r="D109" s="20" t="s">
        <v>56</v>
      </c>
      <c r="E109" s="20" t="s">
        <v>234</v>
      </c>
      <c r="F109" s="20" t="s">
        <v>56</v>
      </c>
      <c r="G109" s="20" t="s">
        <v>33</v>
      </c>
      <c r="H109" s="21" t="n">
        <v>9000</v>
      </c>
      <c r="I109" s="20" t="s">
        <v>34</v>
      </c>
      <c r="J109" s="19" t="s">
        <v>235</v>
      </c>
    </row>
    <row r="110" customFormat="false" ht="21.75" hidden="false" customHeight="true" outlineLevel="0" collapsed="false">
      <c r="A110" s="18" t="n">
        <f aca="false">IF(E110="","",COUNTA(E$15:E110))</f>
        <v>96</v>
      </c>
      <c r="B110" s="19" t="n">
        <v>2026</v>
      </c>
      <c r="C110" s="20" t="s">
        <v>29</v>
      </c>
      <c r="D110" s="20" t="s">
        <v>56</v>
      </c>
      <c r="E110" s="20" t="s">
        <v>236</v>
      </c>
      <c r="F110" s="20" t="s">
        <v>56</v>
      </c>
      <c r="G110" s="20" t="s">
        <v>33</v>
      </c>
      <c r="H110" s="21" t="n">
        <v>40000</v>
      </c>
      <c r="I110" s="20" t="s">
        <v>34</v>
      </c>
      <c r="J110" s="19" t="s">
        <v>237</v>
      </c>
    </row>
    <row r="111" customFormat="false" ht="21.75" hidden="false" customHeight="true" outlineLevel="0" collapsed="false">
      <c r="A111" s="18" t="n">
        <f aca="false">IF(E111="","",COUNTA(E$15:E111))</f>
        <v>97</v>
      </c>
      <c r="B111" s="19" t="n">
        <v>2026</v>
      </c>
      <c r="C111" s="20" t="s">
        <v>29</v>
      </c>
      <c r="D111" s="20" t="s">
        <v>56</v>
      </c>
      <c r="E111" s="20" t="s">
        <v>238</v>
      </c>
      <c r="F111" s="20" t="s">
        <v>56</v>
      </c>
      <c r="G111" s="20" t="s">
        <v>33</v>
      </c>
      <c r="H111" s="21" t="n">
        <v>30000</v>
      </c>
      <c r="I111" s="20" t="s">
        <v>34</v>
      </c>
      <c r="J111" s="19" t="s">
        <v>239</v>
      </c>
    </row>
    <row r="112" customFormat="false" ht="21.75" hidden="false" customHeight="true" outlineLevel="0" collapsed="false">
      <c r="A112" s="18" t="n">
        <f aca="false">IF(E112="","",COUNTA(E$15:E112))</f>
        <v>98</v>
      </c>
      <c r="B112" s="19" t="n">
        <v>2026</v>
      </c>
      <c r="C112" s="20" t="s">
        <v>29</v>
      </c>
      <c r="D112" s="20" t="s">
        <v>56</v>
      </c>
      <c r="E112" s="20" t="s">
        <v>240</v>
      </c>
      <c r="F112" s="20" t="s">
        <v>56</v>
      </c>
      <c r="G112" s="20" t="s">
        <v>33</v>
      </c>
      <c r="H112" s="21" t="n">
        <v>25000</v>
      </c>
      <c r="I112" s="20" t="s">
        <v>34</v>
      </c>
      <c r="J112" s="19" t="s">
        <v>241</v>
      </c>
    </row>
    <row r="113" customFormat="false" ht="21.75" hidden="false" customHeight="true" outlineLevel="0" collapsed="false">
      <c r="A113" s="18" t="n">
        <f aca="false">IF(E113="","",COUNTA(E$15:E113))</f>
        <v>99</v>
      </c>
      <c r="B113" s="19" t="n">
        <v>2026</v>
      </c>
      <c r="C113" s="20" t="s">
        <v>29</v>
      </c>
      <c r="D113" s="20" t="s">
        <v>56</v>
      </c>
      <c r="E113" s="20" t="s">
        <v>242</v>
      </c>
      <c r="F113" s="20" t="s">
        <v>56</v>
      </c>
      <c r="G113" s="20" t="s">
        <v>33</v>
      </c>
      <c r="H113" s="21" t="n">
        <v>30000</v>
      </c>
      <c r="I113" s="20" t="s">
        <v>34</v>
      </c>
      <c r="J113" s="19" t="s">
        <v>243</v>
      </c>
    </row>
    <row r="114" customFormat="false" ht="21.75" hidden="false" customHeight="true" outlineLevel="0" collapsed="false">
      <c r="A114" s="18" t="n">
        <f aca="false">IF(E114="","",COUNTA(E$15:E114))</f>
        <v>100</v>
      </c>
      <c r="B114" s="19" t="n">
        <v>2026</v>
      </c>
      <c r="C114" s="20" t="s">
        <v>29</v>
      </c>
      <c r="D114" s="20" t="s">
        <v>56</v>
      </c>
      <c r="E114" s="20" t="s">
        <v>244</v>
      </c>
      <c r="F114" s="20" t="s">
        <v>56</v>
      </c>
      <c r="G114" s="20" t="s">
        <v>33</v>
      </c>
      <c r="H114" s="21" t="n">
        <v>30000</v>
      </c>
      <c r="I114" s="20" t="s">
        <v>34</v>
      </c>
      <c r="J114" s="19" t="s">
        <v>245</v>
      </c>
    </row>
    <row r="115" customFormat="false" ht="21.75" hidden="false" customHeight="true" outlineLevel="0" collapsed="false">
      <c r="A115" s="18" t="n">
        <f aca="false">IF(E115="","",COUNTA(E$15:E115))</f>
        <v>101</v>
      </c>
      <c r="B115" s="19" t="n">
        <v>2026</v>
      </c>
      <c r="C115" s="20" t="s">
        <v>29</v>
      </c>
      <c r="D115" s="20" t="s">
        <v>56</v>
      </c>
      <c r="E115" s="20" t="s">
        <v>246</v>
      </c>
      <c r="F115" s="20" t="s">
        <v>56</v>
      </c>
      <c r="G115" s="20" t="s">
        <v>33</v>
      </c>
      <c r="H115" s="21" t="n">
        <v>15000</v>
      </c>
      <c r="I115" s="20" t="s">
        <v>34</v>
      </c>
      <c r="J115" s="19" t="s">
        <v>247</v>
      </c>
    </row>
    <row r="116" customFormat="false" ht="21.75" hidden="false" customHeight="true" outlineLevel="0" collapsed="false">
      <c r="A116" s="18" t="n">
        <f aca="false">IF(E116="","",COUNTA(E$15:E116))</f>
        <v>102</v>
      </c>
      <c r="B116" s="19" t="n">
        <v>2026</v>
      </c>
      <c r="C116" s="20" t="s">
        <v>29</v>
      </c>
      <c r="D116" s="20" t="s">
        <v>56</v>
      </c>
      <c r="E116" s="20" t="s">
        <v>248</v>
      </c>
      <c r="F116" s="20" t="s">
        <v>56</v>
      </c>
      <c r="G116" s="20" t="s">
        <v>33</v>
      </c>
      <c r="H116" s="21" t="n">
        <v>30000</v>
      </c>
      <c r="I116" s="20" t="s">
        <v>34</v>
      </c>
      <c r="J116" s="19" t="s">
        <v>249</v>
      </c>
    </row>
    <row r="117" customFormat="false" ht="21.75" hidden="false" customHeight="true" outlineLevel="0" collapsed="false">
      <c r="A117" s="18" t="n">
        <f aca="false">IF(E117="","",COUNTA(E$15:E117))</f>
        <v>103</v>
      </c>
      <c r="B117" s="19" t="n">
        <v>2026</v>
      </c>
      <c r="C117" s="20" t="s">
        <v>36</v>
      </c>
      <c r="D117" s="20" t="s">
        <v>61</v>
      </c>
      <c r="E117" s="20" t="s">
        <v>250</v>
      </c>
      <c r="F117" s="20" t="s">
        <v>61</v>
      </c>
      <c r="G117" s="20" t="s">
        <v>33</v>
      </c>
      <c r="H117" s="21" t="n">
        <v>45000</v>
      </c>
      <c r="I117" s="20" t="s">
        <v>34</v>
      </c>
      <c r="J117" s="19" t="s">
        <v>251</v>
      </c>
    </row>
    <row r="118" customFormat="false" ht="21.75" hidden="false" customHeight="true" outlineLevel="0" collapsed="false">
      <c r="A118" s="18" t="n">
        <f aca="false">IF(E118="","",COUNTA(E$15:E118))</f>
        <v>104</v>
      </c>
      <c r="B118" s="19" t="n">
        <v>2026</v>
      </c>
      <c r="C118" s="20" t="s">
        <v>29</v>
      </c>
      <c r="D118" s="20" t="s">
        <v>61</v>
      </c>
      <c r="E118" s="20" t="s">
        <v>252</v>
      </c>
      <c r="F118" s="20" t="s">
        <v>61</v>
      </c>
      <c r="G118" s="20" t="s">
        <v>33</v>
      </c>
      <c r="H118" s="21" t="n">
        <v>38000</v>
      </c>
      <c r="I118" s="20" t="s">
        <v>34</v>
      </c>
      <c r="J118" s="19" t="s">
        <v>253</v>
      </c>
    </row>
    <row r="119" customFormat="false" ht="21.75" hidden="false" customHeight="true" outlineLevel="0" collapsed="false">
      <c r="A119" s="18" t="n">
        <f aca="false">IF(E119="","",COUNTA(E$15:E119))</f>
        <v>105</v>
      </c>
      <c r="B119" s="19" t="n">
        <v>2026</v>
      </c>
      <c r="C119" s="20" t="s">
        <v>29</v>
      </c>
      <c r="D119" s="20" t="s">
        <v>61</v>
      </c>
      <c r="E119" s="20" t="s">
        <v>254</v>
      </c>
      <c r="F119" s="20" t="s">
        <v>61</v>
      </c>
      <c r="G119" s="20" t="s">
        <v>33</v>
      </c>
      <c r="H119" s="21" t="n">
        <v>30000</v>
      </c>
      <c r="I119" s="20" t="s">
        <v>34</v>
      </c>
      <c r="J119" s="19" t="s">
        <v>255</v>
      </c>
    </row>
    <row r="120" customFormat="false" ht="21.75" hidden="false" customHeight="true" outlineLevel="0" collapsed="false">
      <c r="A120" s="18" t="n">
        <f aca="false">IF(E120="","",COUNTA(E$15:E120))</f>
        <v>106</v>
      </c>
      <c r="B120" s="19" t="n">
        <v>2026</v>
      </c>
      <c r="C120" s="20" t="s">
        <v>29</v>
      </c>
      <c r="D120" s="20" t="s">
        <v>61</v>
      </c>
      <c r="E120" s="20" t="s">
        <v>256</v>
      </c>
      <c r="F120" s="20" t="s">
        <v>61</v>
      </c>
      <c r="G120" s="20" t="s">
        <v>33</v>
      </c>
      <c r="H120" s="21" t="n">
        <v>28000</v>
      </c>
      <c r="I120" s="20" t="s">
        <v>34</v>
      </c>
      <c r="J120" s="19" t="s">
        <v>257</v>
      </c>
    </row>
    <row r="121" customFormat="false" ht="21.75" hidden="false" customHeight="true" outlineLevel="0" collapsed="false">
      <c r="A121" s="18" t="n">
        <f aca="false">IF(E121="","",COUNTA(E$15:E121))</f>
        <v>107</v>
      </c>
      <c r="B121" s="19" t="n">
        <v>2026</v>
      </c>
      <c r="C121" s="20" t="s">
        <v>29</v>
      </c>
      <c r="D121" s="20" t="s">
        <v>61</v>
      </c>
      <c r="E121" s="20" t="s">
        <v>258</v>
      </c>
      <c r="F121" s="20" t="s">
        <v>61</v>
      </c>
      <c r="G121" s="20" t="s">
        <v>33</v>
      </c>
      <c r="H121" s="21" t="n">
        <v>28000</v>
      </c>
      <c r="I121" s="20" t="s">
        <v>34</v>
      </c>
      <c r="J121" s="19" t="s">
        <v>259</v>
      </c>
    </row>
    <row r="122" customFormat="false" ht="21.75" hidden="false" customHeight="true" outlineLevel="0" collapsed="false">
      <c r="A122" s="18" t="n">
        <f aca="false">IF(E122="","",COUNTA(E$15:E122))</f>
        <v>108</v>
      </c>
      <c r="B122" s="19" t="n">
        <v>2026</v>
      </c>
      <c r="C122" s="20" t="s">
        <v>29</v>
      </c>
      <c r="D122" s="20" t="s">
        <v>61</v>
      </c>
      <c r="E122" s="20" t="s">
        <v>260</v>
      </c>
      <c r="F122" s="20" t="s">
        <v>61</v>
      </c>
      <c r="G122" s="20" t="s">
        <v>33</v>
      </c>
      <c r="H122" s="21" t="n">
        <v>28000</v>
      </c>
      <c r="I122" s="20" t="s">
        <v>34</v>
      </c>
      <c r="J122" s="19" t="s">
        <v>261</v>
      </c>
    </row>
    <row r="123" customFormat="false" ht="21.75" hidden="false" customHeight="true" outlineLevel="0" collapsed="false">
      <c r="A123" s="18" t="n">
        <f aca="false">IF(E123="","",COUNTA(E$15:E123))</f>
        <v>109</v>
      </c>
      <c r="B123" s="19" t="n">
        <v>2026</v>
      </c>
      <c r="C123" s="20" t="s">
        <v>29</v>
      </c>
      <c r="D123" s="20" t="s">
        <v>61</v>
      </c>
      <c r="E123" s="20" t="s">
        <v>262</v>
      </c>
      <c r="F123" s="20" t="s">
        <v>61</v>
      </c>
      <c r="G123" s="20" t="s">
        <v>33</v>
      </c>
      <c r="H123" s="21" t="n">
        <v>28000</v>
      </c>
      <c r="I123" s="20" t="s">
        <v>34</v>
      </c>
      <c r="J123" s="19" t="s">
        <v>263</v>
      </c>
    </row>
    <row r="124" customFormat="false" ht="21.75" hidden="false" customHeight="true" outlineLevel="0" collapsed="false">
      <c r="A124" s="18" t="n">
        <f aca="false">IF(E124="","",COUNTA(E$15:E124))</f>
        <v>110</v>
      </c>
      <c r="B124" s="19" t="n">
        <v>2026</v>
      </c>
      <c r="C124" s="20" t="s">
        <v>29</v>
      </c>
      <c r="D124" s="20" t="s">
        <v>61</v>
      </c>
      <c r="E124" s="20" t="s">
        <v>264</v>
      </c>
      <c r="F124" s="20" t="s">
        <v>61</v>
      </c>
      <c r="G124" s="20" t="s">
        <v>33</v>
      </c>
      <c r="H124" s="21" t="n">
        <v>28000</v>
      </c>
      <c r="I124" s="20" t="s">
        <v>34</v>
      </c>
      <c r="J124" s="19" t="s">
        <v>265</v>
      </c>
    </row>
    <row r="125" customFormat="false" ht="21.75" hidden="false" customHeight="true" outlineLevel="0" collapsed="false">
      <c r="A125" s="18" t="n">
        <f aca="false">IF(E125="","",COUNTA(E$15:E125))</f>
        <v>111</v>
      </c>
      <c r="B125" s="19" t="n">
        <v>2026</v>
      </c>
      <c r="C125" s="20" t="s">
        <v>29</v>
      </c>
      <c r="D125" s="20" t="s">
        <v>61</v>
      </c>
      <c r="E125" s="20" t="s">
        <v>266</v>
      </c>
      <c r="F125" s="20" t="s">
        <v>61</v>
      </c>
      <c r="G125" s="20" t="s">
        <v>33</v>
      </c>
      <c r="H125" s="21" t="n">
        <v>22000</v>
      </c>
      <c r="I125" s="20" t="s">
        <v>34</v>
      </c>
      <c r="J125" s="19" t="s">
        <v>267</v>
      </c>
    </row>
    <row r="126" customFormat="false" ht="21.75" hidden="false" customHeight="true" outlineLevel="0" collapsed="false">
      <c r="A126" s="18" t="n">
        <f aca="false">IF(E126="","",COUNTA(E$15:E126))</f>
        <v>112</v>
      </c>
      <c r="B126" s="19" t="n">
        <v>2025</v>
      </c>
      <c r="C126" s="20" t="s">
        <v>36</v>
      </c>
      <c r="D126" s="20" t="s">
        <v>37</v>
      </c>
      <c r="E126" s="20" t="s">
        <v>268</v>
      </c>
      <c r="F126" s="20" t="s">
        <v>39</v>
      </c>
      <c r="G126" s="20" t="s">
        <v>33</v>
      </c>
      <c r="H126" s="21" t="n">
        <v>5000</v>
      </c>
      <c r="I126" s="20" t="s">
        <v>34</v>
      </c>
      <c r="J126" s="19" t="s">
        <v>269</v>
      </c>
    </row>
    <row r="127" customFormat="false" ht="21.75" hidden="false" customHeight="true" outlineLevel="0" collapsed="false">
      <c r="A127" s="18" t="n">
        <f aca="false">IF(E127="","",COUNTA(E$15:E127))</f>
        <v>113</v>
      </c>
      <c r="B127" s="19" t="n">
        <v>2025</v>
      </c>
      <c r="C127" s="20" t="s">
        <v>36</v>
      </c>
      <c r="D127" s="20" t="s">
        <v>44</v>
      </c>
      <c r="E127" s="20" t="s">
        <v>45</v>
      </c>
      <c r="F127" s="20" t="s">
        <v>39</v>
      </c>
      <c r="G127" s="20" t="s">
        <v>33</v>
      </c>
      <c r="H127" s="21" t="n">
        <v>5000</v>
      </c>
      <c r="I127" s="20" t="s">
        <v>34</v>
      </c>
      <c r="J127" s="19" t="s">
        <v>270</v>
      </c>
    </row>
    <row r="128" customFormat="false" ht="21.75" hidden="false" customHeight="true" outlineLevel="0" collapsed="false">
      <c r="A128" s="18" t="n">
        <f aca="false">IF(E128="","",COUNTA(E$15:E128))</f>
        <v>114</v>
      </c>
      <c r="B128" s="19" t="n">
        <v>2025</v>
      </c>
      <c r="C128" s="20" t="s">
        <v>36</v>
      </c>
      <c r="D128" s="20" t="s">
        <v>47</v>
      </c>
      <c r="E128" s="20" t="s">
        <v>271</v>
      </c>
      <c r="F128" s="20" t="s">
        <v>39</v>
      </c>
      <c r="G128" s="20" t="s">
        <v>33</v>
      </c>
      <c r="H128" s="21" t="n">
        <v>5000</v>
      </c>
      <c r="I128" s="20" t="s">
        <v>34</v>
      </c>
      <c r="J128" s="19" t="s">
        <v>272</v>
      </c>
    </row>
    <row r="129" customFormat="false" ht="21.75" hidden="false" customHeight="true" outlineLevel="0" collapsed="false">
      <c r="A129" s="18" t="n">
        <f aca="false">IF(E129="","",COUNTA(E$15:E129))</f>
        <v>115</v>
      </c>
      <c r="B129" s="19" t="n">
        <v>2025</v>
      </c>
      <c r="C129" s="20" t="s">
        <v>36</v>
      </c>
      <c r="D129" s="20" t="s">
        <v>50</v>
      </c>
      <c r="E129" s="20" t="s">
        <v>273</v>
      </c>
      <c r="F129" s="20" t="s">
        <v>39</v>
      </c>
      <c r="G129" s="20" t="s">
        <v>33</v>
      </c>
      <c r="H129" s="21" t="n">
        <v>5000</v>
      </c>
      <c r="I129" s="20" t="s">
        <v>34</v>
      </c>
      <c r="J129" s="19" t="s">
        <v>274</v>
      </c>
    </row>
    <row r="130" customFormat="false" ht="21.75" hidden="false" customHeight="true" outlineLevel="0" collapsed="false">
      <c r="A130" s="18" t="n">
        <f aca="false">IF(E130="","",COUNTA(E$15:E130))</f>
        <v>116</v>
      </c>
      <c r="B130" s="19" t="n">
        <v>2025</v>
      </c>
      <c r="C130" s="20" t="s">
        <v>36</v>
      </c>
      <c r="D130" s="20" t="s">
        <v>53</v>
      </c>
      <c r="E130" s="20" t="s">
        <v>54</v>
      </c>
      <c r="F130" s="20" t="s">
        <v>39</v>
      </c>
      <c r="G130" s="20" t="s">
        <v>33</v>
      </c>
      <c r="H130" s="21" t="n">
        <v>5000</v>
      </c>
      <c r="I130" s="20" t="s">
        <v>34</v>
      </c>
      <c r="J130" s="19" t="s">
        <v>275</v>
      </c>
    </row>
    <row r="131" customFormat="false" ht="21.75" hidden="false" customHeight="true" outlineLevel="0" collapsed="false">
      <c r="A131" s="18" t="n">
        <f aca="false">IF(E131="","",COUNTA(E$15:E131))</f>
        <v>117</v>
      </c>
      <c r="B131" s="19" t="n">
        <v>2025</v>
      </c>
      <c r="C131" s="20" t="s">
        <v>36</v>
      </c>
      <c r="D131" s="20" t="s">
        <v>30</v>
      </c>
      <c r="E131" s="20" t="s">
        <v>59</v>
      </c>
      <c r="F131" s="20" t="s">
        <v>39</v>
      </c>
      <c r="G131" s="20" t="s">
        <v>33</v>
      </c>
      <c r="H131" s="21" t="n">
        <v>5000</v>
      </c>
      <c r="I131" s="20" t="s">
        <v>34</v>
      </c>
      <c r="J131" s="19" t="s">
        <v>276</v>
      </c>
    </row>
    <row r="132" customFormat="false" ht="21.75" hidden="false" customHeight="true" outlineLevel="0" collapsed="false">
      <c r="A132" s="18" t="n">
        <f aca="false">IF(E132="","",COUNTA(E$15:E132))</f>
        <v>118</v>
      </c>
      <c r="B132" s="19" t="n">
        <v>2025</v>
      </c>
      <c r="C132" s="20" t="s">
        <v>36</v>
      </c>
      <c r="D132" s="20" t="s">
        <v>56</v>
      </c>
      <c r="E132" s="20" t="s">
        <v>277</v>
      </c>
      <c r="F132" s="20" t="s">
        <v>39</v>
      </c>
      <c r="G132" s="20" t="s">
        <v>33</v>
      </c>
      <c r="H132" s="21" t="n">
        <v>5000</v>
      </c>
      <c r="I132" s="20" t="s">
        <v>34</v>
      </c>
      <c r="J132" s="19" t="s">
        <v>278</v>
      </c>
    </row>
    <row r="133" customFormat="false" ht="21.75" hidden="false" customHeight="true" outlineLevel="0" collapsed="false">
      <c r="A133" s="18" t="n">
        <f aca="false">IF(E133="","",COUNTA(E$15:E133))</f>
        <v>119</v>
      </c>
      <c r="B133" s="19" t="n">
        <v>2025</v>
      </c>
      <c r="C133" s="20" t="s">
        <v>36</v>
      </c>
      <c r="D133" s="20" t="s">
        <v>30</v>
      </c>
      <c r="E133" s="20" t="s">
        <v>279</v>
      </c>
      <c r="F133" s="20" t="s">
        <v>30</v>
      </c>
      <c r="G133" s="20" t="s">
        <v>33</v>
      </c>
      <c r="H133" s="21" t="n">
        <v>29000</v>
      </c>
      <c r="I133" s="20" t="s">
        <v>34</v>
      </c>
      <c r="J133" s="19" t="s">
        <v>280</v>
      </c>
    </row>
    <row r="134" customFormat="false" ht="21.75" hidden="false" customHeight="true" outlineLevel="0" collapsed="false">
      <c r="A134" s="18" t="n">
        <f aca="false">IF(E134="","",COUNTA(E$15:E134))</f>
        <v>120</v>
      </c>
      <c r="B134" s="19" t="n">
        <v>2025</v>
      </c>
      <c r="C134" s="20" t="s">
        <v>36</v>
      </c>
      <c r="D134" s="20" t="s">
        <v>30</v>
      </c>
      <c r="E134" s="20" t="s">
        <v>281</v>
      </c>
      <c r="F134" s="20" t="s">
        <v>30</v>
      </c>
      <c r="G134" s="20" t="s">
        <v>33</v>
      </c>
      <c r="H134" s="21" t="n">
        <v>4000</v>
      </c>
      <c r="I134" s="20" t="s">
        <v>34</v>
      </c>
      <c r="J134" s="19" t="s">
        <v>282</v>
      </c>
    </row>
    <row r="135" customFormat="false" ht="21.75" hidden="false" customHeight="true" outlineLevel="0" collapsed="false">
      <c r="A135" s="18" t="n">
        <f aca="false">IF(E135="","",COUNTA(E$15:E135))</f>
        <v>121</v>
      </c>
      <c r="B135" s="19" t="n">
        <v>2025</v>
      </c>
      <c r="C135" s="20" t="s">
        <v>36</v>
      </c>
      <c r="D135" s="20" t="s">
        <v>30</v>
      </c>
      <c r="E135" s="20" t="s">
        <v>283</v>
      </c>
      <c r="F135" s="20" t="s">
        <v>30</v>
      </c>
      <c r="G135" s="20" t="s">
        <v>33</v>
      </c>
      <c r="H135" s="21" t="n">
        <v>9000</v>
      </c>
      <c r="I135" s="20" t="s">
        <v>34</v>
      </c>
      <c r="J135" s="19" t="s">
        <v>284</v>
      </c>
    </row>
    <row r="136" customFormat="false" ht="21.75" hidden="false" customHeight="true" outlineLevel="0" collapsed="false">
      <c r="A136" s="18" t="n">
        <f aca="false">IF(E136="","",COUNTA(E$15:E136))</f>
        <v>122</v>
      </c>
      <c r="B136" s="19" t="n">
        <v>2025</v>
      </c>
      <c r="C136" s="20" t="s">
        <v>36</v>
      </c>
      <c r="D136" s="20" t="s">
        <v>30</v>
      </c>
      <c r="E136" s="20" t="s">
        <v>72</v>
      </c>
      <c r="F136" s="20" t="s">
        <v>30</v>
      </c>
      <c r="G136" s="20" t="s">
        <v>33</v>
      </c>
      <c r="H136" s="21" t="n">
        <v>3000</v>
      </c>
      <c r="I136" s="20" t="s">
        <v>34</v>
      </c>
      <c r="J136" s="19" t="s">
        <v>285</v>
      </c>
    </row>
    <row r="137" customFormat="false" ht="21.75" hidden="false" customHeight="true" outlineLevel="0" collapsed="false">
      <c r="A137" s="18" t="n">
        <f aca="false">IF(E137="","",COUNTA(E$15:E137))</f>
        <v>123</v>
      </c>
      <c r="B137" s="19" t="n">
        <v>2025</v>
      </c>
      <c r="C137" s="20" t="s">
        <v>29</v>
      </c>
      <c r="D137" s="20" t="s">
        <v>30</v>
      </c>
      <c r="E137" s="20" t="s">
        <v>286</v>
      </c>
      <c r="F137" s="20" t="s">
        <v>30</v>
      </c>
      <c r="G137" s="20" t="s">
        <v>33</v>
      </c>
      <c r="H137" s="21" t="n">
        <v>50000</v>
      </c>
      <c r="I137" s="20" t="s">
        <v>34</v>
      </c>
      <c r="J137" s="19" t="s">
        <v>287</v>
      </c>
    </row>
    <row r="138" customFormat="false" ht="21.75" hidden="false" customHeight="true" outlineLevel="0" collapsed="false">
      <c r="A138" s="18" t="n">
        <f aca="false">IF(E138="","",COUNTA(E$15:E138))</f>
        <v>124</v>
      </c>
      <c r="B138" s="19" t="n">
        <v>2025</v>
      </c>
      <c r="C138" s="20" t="s">
        <v>29</v>
      </c>
      <c r="D138" s="20" t="s">
        <v>30</v>
      </c>
      <c r="E138" s="20" t="s">
        <v>288</v>
      </c>
      <c r="F138" s="20" t="s">
        <v>30</v>
      </c>
      <c r="G138" s="20" t="s">
        <v>33</v>
      </c>
      <c r="H138" s="21" t="n">
        <v>50000</v>
      </c>
      <c r="I138" s="20" t="s">
        <v>34</v>
      </c>
      <c r="J138" s="19" t="s">
        <v>289</v>
      </c>
    </row>
    <row r="139" customFormat="false" ht="21.75" hidden="false" customHeight="true" outlineLevel="0" collapsed="false">
      <c r="A139" s="18" t="n">
        <f aca="false">IF(E139="","",COUNTA(E$15:E139))</f>
        <v>125</v>
      </c>
      <c r="B139" s="19" t="n">
        <v>2025</v>
      </c>
      <c r="C139" s="20" t="s">
        <v>29</v>
      </c>
      <c r="D139" s="20" t="s">
        <v>30</v>
      </c>
      <c r="E139" s="20" t="s">
        <v>290</v>
      </c>
      <c r="F139" s="20" t="s">
        <v>30</v>
      </c>
      <c r="G139" s="20" t="s">
        <v>33</v>
      </c>
      <c r="H139" s="21" t="n">
        <v>50000</v>
      </c>
      <c r="I139" s="20" t="s">
        <v>34</v>
      </c>
      <c r="J139" s="19" t="s">
        <v>291</v>
      </c>
    </row>
    <row r="140" customFormat="false" ht="21.75" hidden="false" customHeight="true" outlineLevel="0" collapsed="false">
      <c r="A140" s="18" t="n">
        <f aca="false">IF(E140="","",COUNTA(E$15:E140))</f>
        <v>126</v>
      </c>
      <c r="B140" s="19" t="n">
        <v>2025</v>
      </c>
      <c r="C140" s="20" t="s">
        <v>29</v>
      </c>
      <c r="D140" s="20" t="s">
        <v>30</v>
      </c>
      <c r="E140" s="20" t="s">
        <v>292</v>
      </c>
      <c r="F140" s="20" t="s">
        <v>30</v>
      </c>
      <c r="G140" s="20" t="s">
        <v>33</v>
      </c>
      <c r="H140" s="21" t="n">
        <v>50000</v>
      </c>
      <c r="I140" s="20" t="s">
        <v>34</v>
      </c>
      <c r="J140" s="19" t="s">
        <v>293</v>
      </c>
    </row>
    <row r="141" customFormat="false" ht="21.75" hidden="false" customHeight="true" outlineLevel="0" collapsed="false">
      <c r="A141" s="18" t="n">
        <f aca="false">IF(E141="","",COUNTA(E$15:E141))</f>
        <v>127</v>
      </c>
      <c r="B141" s="19" t="n">
        <v>2025</v>
      </c>
      <c r="C141" s="20" t="s">
        <v>29</v>
      </c>
      <c r="D141" s="20" t="s">
        <v>30</v>
      </c>
      <c r="E141" s="20" t="s">
        <v>294</v>
      </c>
      <c r="F141" s="20" t="s">
        <v>30</v>
      </c>
      <c r="G141" s="20" t="s">
        <v>33</v>
      </c>
      <c r="H141" s="21" t="n">
        <v>50000</v>
      </c>
      <c r="I141" s="20" t="s">
        <v>34</v>
      </c>
      <c r="J141" s="19" t="s">
        <v>295</v>
      </c>
    </row>
    <row r="142" customFormat="false" ht="21.75" hidden="false" customHeight="true" outlineLevel="0" collapsed="false">
      <c r="A142" s="18" t="n">
        <f aca="false">IF(E142="","",COUNTA(E$15:E142))</f>
        <v>128</v>
      </c>
      <c r="B142" s="19" t="n">
        <v>2025</v>
      </c>
      <c r="C142" s="20" t="s">
        <v>29</v>
      </c>
      <c r="D142" s="20" t="s">
        <v>30</v>
      </c>
      <c r="E142" s="20" t="s">
        <v>296</v>
      </c>
      <c r="F142" s="20" t="s">
        <v>30</v>
      </c>
      <c r="G142" s="20" t="s">
        <v>33</v>
      </c>
      <c r="H142" s="21" t="n">
        <v>50000</v>
      </c>
      <c r="I142" s="20" t="s">
        <v>34</v>
      </c>
      <c r="J142" s="19" t="s">
        <v>297</v>
      </c>
    </row>
    <row r="143" customFormat="false" ht="21.75" hidden="false" customHeight="true" outlineLevel="0" collapsed="false">
      <c r="A143" s="18" t="n">
        <f aca="false">IF(E143="","",COUNTA(E$15:E143))</f>
        <v>129</v>
      </c>
      <c r="B143" s="19" t="n">
        <v>2025</v>
      </c>
      <c r="C143" s="20" t="s">
        <v>29</v>
      </c>
      <c r="D143" s="20" t="s">
        <v>30</v>
      </c>
      <c r="E143" s="20" t="s">
        <v>298</v>
      </c>
      <c r="F143" s="20" t="s">
        <v>30</v>
      </c>
      <c r="G143" s="20" t="s">
        <v>33</v>
      </c>
      <c r="H143" s="21" t="n">
        <v>50000</v>
      </c>
      <c r="I143" s="20" t="s">
        <v>34</v>
      </c>
      <c r="J143" s="19" t="s">
        <v>299</v>
      </c>
    </row>
    <row r="144" customFormat="false" ht="21.75" hidden="false" customHeight="true" outlineLevel="0" collapsed="false">
      <c r="A144" s="18" t="n">
        <f aca="false">IF(E144="","",COUNTA(E$15:E144))</f>
        <v>130</v>
      </c>
      <c r="B144" s="19" t="n">
        <v>2025</v>
      </c>
      <c r="C144" s="20" t="s">
        <v>36</v>
      </c>
      <c r="D144" s="20" t="s">
        <v>37</v>
      </c>
      <c r="E144" s="20" t="s">
        <v>300</v>
      </c>
      <c r="F144" s="20" t="s">
        <v>37</v>
      </c>
      <c r="G144" s="20" t="s">
        <v>33</v>
      </c>
      <c r="H144" s="21" t="n">
        <v>1000</v>
      </c>
      <c r="I144" s="20" t="s">
        <v>34</v>
      </c>
      <c r="J144" s="19" t="s">
        <v>301</v>
      </c>
    </row>
    <row r="145" customFormat="false" ht="21.75" hidden="false" customHeight="true" outlineLevel="0" collapsed="false">
      <c r="A145" s="18" t="n">
        <f aca="false">IF(E145="","",COUNTA(E$15:E145))</f>
        <v>131</v>
      </c>
      <c r="B145" s="19" t="n">
        <v>2025</v>
      </c>
      <c r="C145" s="20" t="s">
        <v>36</v>
      </c>
      <c r="D145" s="20" t="s">
        <v>37</v>
      </c>
      <c r="E145" s="20" t="s">
        <v>90</v>
      </c>
      <c r="F145" s="20" t="s">
        <v>37</v>
      </c>
      <c r="G145" s="20" t="s">
        <v>33</v>
      </c>
      <c r="H145" s="21" t="n">
        <v>4000</v>
      </c>
      <c r="I145" s="20" t="s">
        <v>34</v>
      </c>
      <c r="J145" s="19" t="s">
        <v>302</v>
      </c>
    </row>
    <row r="146" customFormat="false" ht="21.75" hidden="false" customHeight="true" outlineLevel="0" collapsed="false">
      <c r="A146" s="18" t="n">
        <f aca="false">IF(E146="","",COUNTA(E$15:E146))</f>
        <v>132</v>
      </c>
      <c r="B146" s="19" t="n">
        <v>2025</v>
      </c>
      <c r="C146" s="20" t="s">
        <v>36</v>
      </c>
      <c r="D146" s="20" t="s">
        <v>37</v>
      </c>
      <c r="E146" s="20" t="s">
        <v>303</v>
      </c>
      <c r="F146" s="20" t="s">
        <v>37</v>
      </c>
      <c r="G146" s="20" t="s">
        <v>33</v>
      </c>
      <c r="H146" s="21" t="n">
        <v>20000</v>
      </c>
      <c r="I146" s="20" t="s">
        <v>34</v>
      </c>
      <c r="J146" s="19" t="s">
        <v>304</v>
      </c>
    </row>
    <row r="147" customFormat="false" ht="21.75" hidden="false" customHeight="true" outlineLevel="0" collapsed="false">
      <c r="A147" s="18" t="n">
        <f aca="false">IF(E147="","",COUNTA(E$15:E147))</f>
        <v>133</v>
      </c>
      <c r="B147" s="19" t="n">
        <v>2025</v>
      </c>
      <c r="C147" s="20" t="s">
        <v>36</v>
      </c>
      <c r="D147" s="20" t="s">
        <v>37</v>
      </c>
      <c r="E147" s="20" t="s">
        <v>305</v>
      </c>
      <c r="F147" s="20" t="s">
        <v>37</v>
      </c>
      <c r="G147" s="20" t="s">
        <v>33</v>
      </c>
      <c r="H147" s="21" t="n">
        <v>20000</v>
      </c>
      <c r="I147" s="20" t="s">
        <v>34</v>
      </c>
      <c r="J147" s="19" t="s">
        <v>306</v>
      </c>
    </row>
    <row r="148" customFormat="false" ht="21.75" hidden="false" customHeight="true" outlineLevel="0" collapsed="false">
      <c r="A148" s="18" t="n">
        <f aca="false">IF(E148="","",COUNTA(E$15:E148))</f>
        <v>134</v>
      </c>
      <c r="B148" s="19" t="n">
        <v>2025</v>
      </c>
      <c r="C148" s="20" t="s">
        <v>29</v>
      </c>
      <c r="D148" s="20" t="s">
        <v>37</v>
      </c>
      <c r="E148" s="20" t="s">
        <v>307</v>
      </c>
      <c r="F148" s="20" t="s">
        <v>37</v>
      </c>
      <c r="G148" s="20" t="s">
        <v>33</v>
      </c>
      <c r="H148" s="21" t="n">
        <v>28000</v>
      </c>
      <c r="I148" s="20" t="s">
        <v>34</v>
      </c>
      <c r="J148" s="19" t="s">
        <v>308</v>
      </c>
    </row>
    <row r="149" customFormat="false" ht="21.75" hidden="false" customHeight="true" outlineLevel="0" collapsed="false">
      <c r="A149" s="18" t="n">
        <f aca="false">IF(E149="","",COUNTA(E$15:E149))</f>
        <v>135</v>
      </c>
      <c r="B149" s="19" t="n">
        <v>2025</v>
      </c>
      <c r="C149" s="20" t="s">
        <v>29</v>
      </c>
      <c r="D149" s="20" t="s">
        <v>37</v>
      </c>
      <c r="E149" s="20" t="s">
        <v>309</v>
      </c>
      <c r="F149" s="20" t="s">
        <v>37</v>
      </c>
      <c r="G149" s="20" t="s">
        <v>33</v>
      </c>
      <c r="H149" s="21" t="n">
        <v>27000</v>
      </c>
      <c r="I149" s="20" t="s">
        <v>34</v>
      </c>
      <c r="J149" s="19" t="s">
        <v>310</v>
      </c>
    </row>
    <row r="150" customFormat="false" ht="21.75" hidden="false" customHeight="true" outlineLevel="0" collapsed="false">
      <c r="A150" s="18" t="n">
        <f aca="false">IF(E150="","",COUNTA(E$15:E150))</f>
        <v>136</v>
      </c>
      <c r="B150" s="19" t="n">
        <v>2025</v>
      </c>
      <c r="C150" s="20" t="s">
        <v>29</v>
      </c>
      <c r="D150" s="20" t="s">
        <v>37</v>
      </c>
      <c r="E150" s="20" t="s">
        <v>311</v>
      </c>
      <c r="F150" s="20" t="s">
        <v>37</v>
      </c>
      <c r="G150" s="20" t="s">
        <v>33</v>
      </c>
      <c r="H150" s="21" t="n">
        <v>28000</v>
      </c>
      <c r="I150" s="20" t="s">
        <v>34</v>
      </c>
      <c r="J150" s="19" t="s">
        <v>312</v>
      </c>
    </row>
    <row r="151" customFormat="false" ht="21.75" hidden="false" customHeight="true" outlineLevel="0" collapsed="false">
      <c r="A151" s="18" t="n">
        <f aca="false">IF(E151="","",COUNTA(E$15:E151))</f>
        <v>137</v>
      </c>
      <c r="B151" s="19" t="n">
        <v>2025</v>
      </c>
      <c r="C151" s="20" t="s">
        <v>29</v>
      </c>
      <c r="D151" s="20" t="s">
        <v>37</v>
      </c>
      <c r="E151" s="20" t="s">
        <v>313</v>
      </c>
      <c r="F151" s="20" t="s">
        <v>37</v>
      </c>
      <c r="G151" s="20" t="s">
        <v>33</v>
      </c>
      <c r="H151" s="21" t="n">
        <v>28000</v>
      </c>
      <c r="I151" s="20" t="s">
        <v>34</v>
      </c>
      <c r="J151" s="19" t="s">
        <v>314</v>
      </c>
    </row>
    <row r="152" customFormat="false" ht="21.75" hidden="false" customHeight="true" outlineLevel="0" collapsed="false">
      <c r="A152" s="18" t="n">
        <f aca="false">IF(E152="","",COUNTA(E$15:E152))</f>
        <v>138</v>
      </c>
      <c r="B152" s="19" t="n">
        <v>2025</v>
      </c>
      <c r="C152" s="20" t="s">
        <v>29</v>
      </c>
      <c r="D152" s="20" t="s">
        <v>37</v>
      </c>
      <c r="E152" s="20" t="s">
        <v>315</v>
      </c>
      <c r="F152" s="20" t="s">
        <v>37</v>
      </c>
      <c r="G152" s="20" t="s">
        <v>33</v>
      </c>
      <c r="H152" s="21" t="n">
        <v>28000</v>
      </c>
      <c r="I152" s="20" t="s">
        <v>34</v>
      </c>
      <c r="J152" s="19" t="s">
        <v>316</v>
      </c>
    </row>
    <row r="153" customFormat="false" ht="21.75" hidden="false" customHeight="true" outlineLevel="0" collapsed="false">
      <c r="A153" s="18" t="n">
        <f aca="false">IF(E153="","",COUNTA(E$15:E153))</f>
        <v>139</v>
      </c>
      <c r="B153" s="19" t="n">
        <v>2025</v>
      </c>
      <c r="C153" s="20" t="s">
        <v>29</v>
      </c>
      <c r="D153" s="20" t="s">
        <v>37</v>
      </c>
      <c r="E153" s="20" t="s">
        <v>317</v>
      </c>
      <c r="F153" s="20" t="s">
        <v>37</v>
      </c>
      <c r="G153" s="20" t="s">
        <v>33</v>
      </c>
      <c r="H153" s="21" t="n">
        <v>27000</v>
      </c>
      <c r="I153" s="20" t="s">
        <v>34</v>
      </c>
      <c r="J153" s="19" t="s">
        <v>318</v>
      </c>
    </row>
    <row r="154" customFormat="false" ht="21.75" hidden="false" customHeight="true" outlineLevel="0" collapsed="false">
      <c r="A154" s="18" t="n">
        <f aca="false">IF(E154="","",COUNTA(E$15:E154))</f>
        <v>140</v>
      </c>
      <c r="B154" s="19" t="n">
        <v>2025</v>
      </c>
      <c r="C154" s="20" t="s">
        <v>29</v>
      </c>
      <c r="D154" s="20" t="s">
        <v>37</v>
      </c>
      <c r="E154" s="20" t="s">
        <v>319</v>
      </c>
      <c r="F154" s="20" t="s">
        <v>37</v>
      </c>
      <c r="G154" s="20" t="s">
        <v>33</v>
      </c>
      <c r="H154" s="21" t="n">
        <v>28000</v>
      </c>
      <c r="I154" s="20" t="s">
        <v>34</v>
      </c>
      <c r="J154" s="19" t="s">
        <v>320</v>
      </c>
    </row>
    <row r="155" customFormat="false" ht="21.75" hidden="false" customHeight="true" outlineLevel="0" collapsed="false">
      <c r="A155" s="18" t="n">
        <f aca="false">IF(E155="","",COUNTA(E$15:E155))</f>
        <v>141</v>
      </c>
      <c r="B155" s="19" t="n">
        <v>2025</v>
      </c>
      <c r="C155" s="20" t="s">
        <v>29</v>
      </c>
      <c r="D155" s="20" t="s">
        <v>37</v>
      </c>
      <c r="E155" s="20" t="s">
        <v>321</v>
      </c>
      <c r="F155" s="20" t="s">
        <v>37</v>
      </c>
      <c r="G155" s="20" t="s">
        <v>33</v>
      </c>
      <c r="H155" s="21" t="n">
        <v>28000</v>
      </c>
      <c r="I155" s="20" t="s">
        <v>34</v>
      </c>
      <c r="J155" s="19" t="s">
        <v>322</v>
      </c>
    </row>
    <row r="156" customFormat="false" ht="21.75" hidden="false" customHeight="true" outlineLevel="0" collapsed="false">
      <c r="A156" s="18" t="n">
        <f aca="false">IF(E156="","",COUNTA(E$15:E156))</f>
        <v>142</v>
      </c>
      <c r="B156" s="19" t="n">
        <v>2025</v>
      </c>
      <c r="C156" s="20" t="s">
        <v>29</v>
      </c>
      <c r="D156" s="20" t="s">
        <v>37</v>
      </c>
      <c r="E156" s="20" t="s">
        <v>323</v>
      </c>
      <c r="F156" s="20" t="s">
        <v>37</v>
      </c>
      <c r="G156" s="20" t="s">
        <v>33</v>
      </c>
      <c r="H156" s="21" t="n">
        <v>28000</v>
      </c>
      <c r="I156" s="20" t="s">
        <v>34</v>
      </c>
      <c r="J156" s="19" t="s">
        <v>324</v>
      </c>
    </row>
    <row r="157" customFormat="false" ht="21.75" hidden="false" customHeight="true" outlineLevel="0" collapsed="false">
      <c r="A157" s="18" t="n">
        <f aca="false">IF(E157="","",COUNTA(E$15:E157))</f>
        <v>143</v>
      </c>
      <c r="B157" s="19" t="n">
        <v>2025</v>
      </c>
      <c r="C157" s="20" t="s">
        <v>29</v>
      </c>
      <c r="D157" s="20" t="s">
        <v>41</v>
      </c>
      <c r="E157" s="20" t="s">
        <v>325</v>
      </c>
      <c r="F157" s="20" t="s">
        <v>41</v>
      </c>
      <c r="G157" s="20" t="s">
        <v>33</v>
      </c>
      <c r="H157" s="21" t="n">
        <v>30000</v>
      </c>
      <c r="I157" s="20" t="s">
        <v>34</v>
      </c>
      <c r="J157" s="19" t="s">
        <v>326</v>
      </c>
    </row>
    <row r="158" customFormat="false" ht="21.75" hidden="false" customHeight="true" outlineLevel="0" collapsed="false">
      <c r="A158" s="18" t="n">
        <f aca="false">IF(E158="","",COUNTA(E$15:E158))</f>
        <v>144</v>
      </c>
      <c r="B158" s="19" t="n">
        <v>2025</v>
      </c>
      <c r="C158" s="20" t="s">
        <v>29</v>
      </c>
      <c r="D158" s="20" t="s">
        <v>41</v>
      </c>
      <c r="E158" s="20" t="s">
        <v>327</v>
      </c>
      <c r="F158" s="20" t="s">
        <v>41</v>
      </c>
      <c r="G158" s="20" t="s">
        <v>33</v>
      </c>
      <c r="H158" s="21" t="n">
        <v>20000</v>
      </c>
      <c r="I158" s="20" t="s">
        <v>34</v>
      </c>
      <c r="J158" s="19" t="s">
        <v>328</v>
      </c>
    </row>
    <row r="159" customFormat="false" ht="21.75" hidden="false" customHeight="true" outlineLevel="0" collapsed="false">
      <c r="A159" s="18" t="n">
        <f aca="false">IF(E159="","",COUNTA(E$15:E159))</f>
        <v>145</v>
      </c>
      <c r="B159" s="19" t="n">
        <v>2025</v>
      </c>
      <c r="C159" s="20" t="s">
        <v>29</v>
      </c>
      <c r="D159" s="20" t="s">
        <v>41</v>
      </c>
      <c r="E159" s="20" t="s">
        <v>329</v>
      </c>
      <c r="F159" s="20" t="s">
        <v>41</v>
      </c>
      <c r="G159" s="20" t="s">
        <v>33</v>
      </c>
      <c r="H159" s="21" t="n">
        <v>50000</v>
      </c>
      <c r="I159" s="20" t="s">
        <v>34</v>
      </c>
      <c r="J159" s="19" t="s">
        <v>330</v>
      </c>
    </row>
    <row r="160" customFormat="false" ht="21.75" hidden="false" customHeight="true" outlineLevel="0" collapsed="false">
      <c r="A160" s="18" t="n">
        <f aca="false">IF(E160="","",COUNTA(E$15:E160))</f>
        <v>146</v>
      </c>
      <c r="B160" s="19" t="n">
        <v>2025</v>
      </c>
      <c r="C160" s="20" t="s">
        <v>29</v>
      </c>
      <c r="D160" s="20" t="s">
        <v>41</v>
      </c>
      <c r="E160" s="20" t="s">
        <v>331</v>
      </c>
      <c r="F160" s="20" t="s">
        <v>41</v>
      </c>
      <c r="G160" s="20" t="s">
        <v>33</v>
      </c>
      <c r="H160" s="21" t="n">
        <v>50000</v>
      </c>
      <c r="I160" s="20" t="s">
        <v>34</v>
      </c>
      <c r="J160" s="19" t="s">
        <v>332</v>
      </c>
    </row>
    <row r="161" customFormat="false" ht="21.75" hidden="false" customHeight="true" outlineLevel="0" collapsed="false">
      <c r="A161" s="18" t="n">
        <f aca="false">IF(E161="","",COUNTA(E$15:E161))</f>
        <v>147</v>
      </c>
      <c r="B161" s="19" t="n">
        <v>2025</v>
      </c>
      <c r="C161" s="20" t="s">
        <v>29</v>
      </c>
      <c r="D161" s="20" t="s">
        <v>41</v>
      </c>
      <c r="E161" s="20" t="s">
        <v>333</v>
      </c>
      <c r="F161" s="20" t="s">
        <v>41</v>
      </c>
      <c r="G161" s="20" t="s">
        <v>33</v>
      </c>
      <c r="H161" s="21" t="n">
        <v>50000</v>
      </c>
      <c r="I161" s="20" t="s">
        <v>34</v>
      </c>
      <c r="J161" s="19" t="s">
        <v>334</v>
      </c>
    </row>
    <row r="162" customFormat="false" ht="21.75" hidden="false" customHeight="true" outlineLevel="0" collapsed="false">
      <c r="A162" s="18" t="n">
        <f aca="false">IF(E162="","",COUNTA(E$15:E162))</f>
        <v>148</v>
      </c>
      <c r="B162" s="19" t="n">
        <v>2025</v>
      </c>
      <c r="C162" s="20" t="s">
        <v>36</v>
      </c>
      <c r="D162" s="20" t="s">
        <v>44</v>
      </c>
      <c r="E162" s="20" t="s">
        <v>128</v>
      </c>
      <c r="F162" s="20" t="s">
        <v>44</v>
      </c>
      <c r="G162" s="20" t="s">
        <v>33</v>
      </c>
      <c r="H162" s="21" t="n">
        <v>33000</v>
      </c>
      <c r="I162" s="20" t="s">
        <v>34</v>
      </c>
      <c r="J162" s="19" t="s">
        <v>335</v>
      </c>
    </row>
    <row r="163" customFormat="false" ht="21.75" hidden="false" customHeight="true" outlineLevel="0" collapsed="false">
      <c r="A163" s="18" t="n">
        <f aca="false">IF(E163="","",COUNTA(E$15:E163))</f>
        <v>149</v>
      </c>
      <c r="B163" s="19" t="n">
        <v>2025</v>
      </c>
      <c r="C163" s="20" t="s">
        <v>29</v>
      </c>
      <c r="D163" s="20" t="s">
        <v>44</v>
      </c>
      <c r="E163" s="20" t="s">
        <v>336</v>
      </c>
      <c r="F163" s="20" t="s">
        <v>44</v>
      </c>
      <c r="G163" s="20" t="s">
        <v>33</v>
      </c>
      <c r="H163" s="21" t="n">
        <v>30000</v>
      </c>
      <c r="I163" s="20" t="s">
        <v>34</v>
      </c>
      <c r="J163" s="19" t="s">
        <v>337</v>
      </c>
    </row>
    <row r="164" customFormat="false" ht="21.75" hidden="false" customHeight="true" outlineLevel="0" collapsed="false">
      <c r="A164" s="18" t="n">
        <f aca="false">IF(E164="","",COUNTA(E$15:E164))</f>
        <v>150</v>
      </c>
      <c r="B164" s="19" t="n">
        <v>2025</v>
      </c>
      <c r="C164" s="20" t="s">
        <v>29</v>
      </c>
      <c r="D164" s="20" t="s">
        <v>44</v>
      </c>
      <c r="E164" s="20" t="s">
        <v>338</v>
      </c>
      <c r="F164" s="20" t="s">
        <v>44</v>
      </c>
      <c r="G164" s="20" t="s">
        <v>33</v>
      </c>
      <c r="H164" s="21" t="n">
        <v>30000</v>
      </c>
      <c r="I164" s="20" t="s">
        <v>34</v>
      </c>
      <c r="J164" s="19" t="s">
        <v>339</v>
      </c>
    </row>
    <row r="165" customFormat="false" ht="21.75" hidden="false" customHeight="true" outlineLevel="0" collapsed="false">
      <c r="A165" s="18" t="n">
        <f aca="false">IF(E165="","",COUNTA(E$15:E165))</f>
        <v>151</v>
      </c>
      <c r="B165" s="19" t="n">
        <v>2025</v>
      </c>
      <c r="C165" s="20" t="s">
        <v>29</v>
      </c>
      <c r="D165" s="20" t="s">
        <v>44</v>
      </c>
      <c r="E165" s="20" t="s">
        <v>340</v>
      </c>
      <c r="F165" s="20" t="s">
        <v>44</v>
      </c>
      <c r="G165" s="20" t="s">
        <v>33</v>
      </c>
      <c r="H165" s="21" t="n">
        <v>30000</v>
      </c>
      <c r="I165" s="20" t="s">
        <v>34</v>
      </c>
      <c r="J165" s="19" t="s">
        <v>341</v>
      </c>
    </row>
    <row r="166" customFormat="false" ht="21.75" hidden="false" customHeight="true" outlineLevel="0" collapsed="false">
      <c r="A166" s="18" t="n">
        <f aca="false">IF(E166="","",COUNTA(E$15:E166))</f>
        <v>152</v>
      </c>
      <c r="B166" s="19" t="n">
        <v>2025</v>
      </c>
      <c r="C166" s="20" t="s">
        <v>29</v>
      </c>
      <c r="D166" s="20" t="s">
        <v>44</v>
      </c>
      <c r="E166" s="20" t="s">
        <v>342</v>
      </c>
      <c r="F166" s="20" t="s">
        <v>44</v>
      </c>
      <c r="G166" s="20" t="s">
        <v>33</v>
      </c>
      <c r="H166" s="21" t="n">
        <v>30000</v>
      </c>
      <c r="I166" s="20" t="s">
        <v>34</v>
      </c>
      <c r="J166" s="19" t="s">
        <v>343</v>
      </c>
    </row>
    <row r="167" customFormat="false" ht="21.75" hidden="false" customHeight="true" outlineLevel="0" collapsed="false">
      <c r="A167" s="18" t="n">
        <f aca="false">IF(E167="","",COUNTA(E$15:E167))</f>
        <v>153</v>
      </c>
      <c r="B167" s="19" t="n">
        <v>2025</v>
      </c>
      <c r="C167" s="20" t="s">
        <v>29</v>
      </c>
      <c r="D167" s="20" t="s">
        <v>44</v>
      </c>
      <c r="E167" s="20" t="s">
        <v>344</v>
      </c>
      <c r="F167" s="20" t="s">
        <v>44</v>
      </c>
      <c r="G167" s="20" t="s">
        <v>33</v>
      </c>
      <c r="H167" s="21" t="n">
        <v>30000</v>
      </c>
      <c r="I167" s="20" t="s">
        <v>34</v>
      </c>
      <c r="J167" s="19" t="s">
        <v>345</v>
      </c>
    </row>
    <row r="168" customFormat="false" ht="21.75" hidden="false" customHeight="true" outlineLevel="0" collapsed="false">
      <c r="A168" s="18" t="n">
        <f aca="false">IF(E168="","",COUNTA(E$15:E168))</f>
        <v>154</v>
      </c>
      <c r="B168" s="19" t="n">
        <v>2025</v>
      </c>
      <c r="C168" s="20" t="s">
        <v>29</v>
      </c>
      <c r="D168" s="20" t="s">
        <v>44</v>
      </c>
      <c r="E168" s="20" t="s">
        <v>346</v>
      </c>
      <c r="F168" s="20" t="s">
        <v>44</v>
      </c>
      <c r="G168" s="20" t="s">
        <v>33</v>
      </c>
      <c r="H168" s="21" t="n">
        <v>30000</v>
      </c>
      <c r="I168" s="20" t="s">
        <v>34</v>
      </c>
      <c r="J168" s="19" t="s">
        <v>347</v>
      </c>
    </row>
    <row r="169" customFormat="false" ht="21.75" hidden="false" customHeight="true" outlineLevel="0" collapsed="false">
      <c r="A169" s="18" t="n">
        <f aca="false">IF(E169="","",COUNTA(E$15:E169))</f>
        <v>155</v>
      </c>
      <c r="B169" s="19" t="n">
        <v>2025</v>
      </c>
      <c r="C169" s="20" t="s">
        <v>29</v>
      </c>
      <c r="D169" s="20" t="s">
        <v>44</v>
      </c>
      <c r="E169" s="20" t="s">
        <v>348</v>
      </c>
      <c r="F169" s="20" t="s">
        <v>44</v>
      </c>
      <c r="G169" s="20" t="s">
        <v>33</v>
      </c>
      <c r="H169" s="21" t="n">
        <v>40000</v>
      </c>
      <c r="I169" s="20" t="s">
        <v>34</v>
      </c>
      <c r="J169" s="19" t="s">
        <v>349</v>
      </c>
    </row>
    <row r="170" customFormat="false" ht="21.75" hidden="false" customHeight="true" outlineLevel="0" collapsed="false">
      <c r="A170" s="18" t="n">
        <f aca="false">IF(E170="","",COUNTA(E$15:E170))</f>
        <v>156</v>
      </c>
      <c r="B170" s="19" t="n">
        <v>2025</v>
      </c>
      <c r="C170" s="20" t="s">
        <v>29</v>
      </c>
      <c r="D170" s="20" t="s">
        <v>44</v>
      </c>
      <c r="E170" s="20" t="s">
        <v>350</v>
      </c>
      <c r="F170" s="20" t="s">
        <v>44</v>
      </c>
      <c r="G170" s="20" t="s">
        <v>33</v>
      </c>
      <c r="H170" s="21" t="n">
        <v>10000</v>
      </c>
      <c r="I170" s="20" t="s">
        <v>34</v>
      </c>
      <c r="J170" s="19" t="s">
        <v>351</v>
      </c>
    </row>
    <row r="171" customFormat="false" ht="21.75" hidden="false" customHeight="true" outlineLevel="0" collapsed="false">
      <c r="A171" s="18" t="n">
        <f aca="false">IF(E171="","",COUNTA(E$15:E171))</f>
        <v>157</v>
      </c>
      <c r="B171" s="19" t="n">
        <v>2025</v>
      </c>
      <c r="C171" s="20" t="s">
        <v>36</v>
      </c>
      <c r="D171" s="20" t="s">
        <v>47</v>
      </c>
      <c r="E171" s="20" t="s">
        <v>352</v>
      </c>
      <c r="F171" s="20" t="s">
        <v>47</v>
      </c>
      <c r="G171" s="20" t="s">
        <v>33</v>
      </c>
      <c r="H171" s="21" t="n">
        <v>45000</v>
      </c>
      <c r="I171" s="20" t="s">
        <v>34</v>
      </c>
      <c r="J171" s="19" t="s">
        <v>353</v>
      </c>
    </row>
    <row r="172" customFormat="false" ht="21.75" hidden="false" customHeight="true" outlineLevel="0" collapsed="false">
      <c r="A172" s="18" t="n">
        <f aca="false">IF(E172="","",COUNTA(E$15:E172))</f>
        <v>158</v>
      </c>
      <c r="B172" s="19" t="n">
        <v>2025</v>
      </c>
      <c r="C172" s="20" t="s">
        <v>29</v>
      </c>
      <c r="D172" s="20" t="s">
        <v>47</v>
      </c>
      <c r="E172" s="20" t="s">
        <v>354</v>
      </c>
      <c r="F172" s="20" t="s">
        <v>47</v>
      </c>
      <c r="G172" s="20" t="s">
        <v>33</v>
      </c>
      <c r="H172" s="21" t="n">
        <v>30000</v>
      </c>
      <c r="I172" s="20" t="s">
        <v>34</v>
      </c>
      <c r="J172" s="19" t="s">
        <v>355</v>
      </c>
    </row>
    <row r="173" customFormat="false" ht="21.75" hidden="false" customHeight="true" outlineLevel="0" collapsed="false">
      <c r="A173" s="18" t="n">
        <f aca="false">IF(E173="","",COUNTA(E$15:E173))</f>
        <v>159</v>
      </c>
      <c r="B173" s="19" t="n">
        <v>2025</v>
      </c>
      <c r="C173" s="20" t="s">
        <v>29</v>
      </c>
      <c r="D173" s="20" t="s">
        <v>47</v>
      </c>
      <c r="E173" s="20" t="s">
        <v>356</v>
      </c>
      <c r="F173" s="20" t="s">
        <v>47</v>
      </c>
      <c r="G173" s="20" t="s">
        <v>33</v>
      </c>
      <c r="H173" s="21" t="n">
        <v>20000</v>
      </c>
      <c r="I173" s="20" t="s">
        <v>34</v>
      </c>
      <c r="J173" s="19" t="s">
        <v>357</v>
      </c>
    </row>
    <row r="174" customFormat="false" ht="21.75" hidden="false" customHeight="true" outlineLevel="0" collapsed="false">
      <c r="A174" s="18" t="n">
        <f aca="false">IF(E174="","",COUNTA(E$15:E174))</f>
        <v>160</v>
      </c>
      <c r="B174" s="19" t="n">
        <v>2025</v>
      </c>
      <c r="C174" s="20" t="s">
        <v>29</v>
      </c>
      <c r="D174" s="20" t="s">
        <v>47</v>
      </c>
      <c r="E174" s="20" t="s">
        <v>358</v>
      </c>
      <c r="F174" s="20" t="s">
        <v>47</v>
      </c>
      <c r="G174" s="20" t="s">
        <v>33</v>
      </c>
      <c r="H174" s="21" t="n">
        <v>15000</v>
      </c>
      <c r="I174" s="20" t="s">
        <v>34</v>
      </c>
      <c r="J174" s="19" t="s">
        <v>359</v>
      </c>
    </row>
    <row r="175" customFormat="false" ht="21.75" hidden="false" customHeight="true" outlineLevel="0" collapsed="false">
      <c r="A175" s="18" t="n">
        <f aca="false">IF(E175="","",COUNTA(E$15:E175))</f>
        <v>161</v>
      </c>
      <c r="B175" s="19" t="n">
        <v>2025</v>
      </c>
      <c r="C175" s="20" t="s">
        <v>29</v>
      </c>
      <c r="D175" s="20" t="s">
        <v>47</v>
      </c>
      <c r="E175" s="20" t="s">
        <v>360</v>
      </c>
      <c r="F175" s="20" t="s">
        <v>47</v>
      </c>
      <c r="G175" s="20" t="s">
        <v>33</v>
      </c>
      <c r="H175" s="21" t="n">
        <v>25000</v>
      </c>
      <c r="I175" s="20" t="s">
        <v>34</v>
      </c>
      <c r="J175" s="19" t="s">
        <v>361</v>
      </c>
    </row>
    <row r="176" customFormat="false" ht="21.75" hidden="false" customHeight="true" outlineLevel="0" collapsed="false">
      <c r="A176" s="18" t="n">
        <f aca="false">IF(E176="","",COUNTA(E$15:E176))</f>
        <v>162</v>
      </c>
      <c r="B176" s="19" t="n">
        <v>2025</v>
      </c>
      <c r="C176" s="20" t="s">
        <v>29</v>
      </c>
      <c r="D176" s="20" t="s">
        <v>47</v>
      </c>
      <c r="E176" s="20" t="s">
        <v>362</v>
      </c>
      <c r="F176" s="20" t="s">
        <v>47</v>
      </c>
      <c r="G176" s="20" t="s">
        <v>33</v>
      </c>
      <c r="H176" s="21" t="n">
        <v>20000</v>
      </c>
      <c r="I176" s="20" t="s">
        <v>34</v>
      </c>
      <c r="J176" s="19" t="s">
        <v>363</v>
      </c>
    </row>
    <row r="177" customFormat="false" ht="21.75" hidden="false" customHeight="true" outlineLevel="0" collapsed="false">
      <c r="A177" s="18" t="n">
        <f aca="false">IF(E177="","",COUNTA(E$15:E177))</f>
        <v>163</v>
      </c>
      <c r="B177" s="19" t="n">
        <v>2025</v>
      </c>
      <c r="C177" s="20" t="s">
        <v>29</v>
      </c>
      <c r="D177" s="20" t="s">
        <v>47</v>
      </c>
      <c r="E177" s="20" t="s">
        <v>364</v>
      </c>
      <c r="F177" s="20" t="s">
        <v>47</v>
      </c>
      <c r="G177" s="20" t="s">
        <v>33</v>
      </c>
      <c r="H177" s="21" t="n">
        <v>30000</v>
      </c>
      <c r="I177" s="20" t="s">
        <v>34</v>
      </c>
      <c r="J177" s="19" t="s">
        <v>365</v>
      </c>
    </row>
    <row r="178" customFormat="false" ht="21.75" hidden="false" customHeight="true" outlineLevel="0" collapsed="false">
      <c r="A178" s="18" t="n">
        <f aca="false">IF(E178="","",COUNTA(E$15:E178))</f>
        <v>164</v>
      </c>
      <c r="B178" s="19" t="n">
        <v>2025</v>
      </c>
      <c r="C178" s="20" t="s">
        <v>29</v>
      </c>
      <c r="D178" s="20" t="s">
        <v>47</v>
      </c>
      <c r="E178" s="20" t="s">
        <v>366</v>
      </c>
      <c r="F178" s="20" t="s">
        <v>47</v>
      </c>
      <c r="G178" s="20" t="s">
        <v>33</v>
      </c>
      <c r="H178" s="21" t="n">
        <v>30000</v>
      </c>
      <c r="I178" s="20" t="s">
        <v>34</v>
      </c>
      <c r="J178" s="19" t="s">
        <v>367</v>
      </c>
    </row>
    <row r="179" customFormat="false" ht="21.75" hidden="false" customHeight="true" outlineLevel="0" collapsed="false">
      <c r="A179" s="18" t="n">
        <f aca="false">IF(E179="","",COUNTA(E$15:E179))</f>
        <v>165</v>
      </c>
      <c r="B179" s="19" t="n">
        <v>2025</v>
      </c>
      <c r="C179" s="20" t="s">
        <v>29</v>
      </c>
      <c r="D179" s="20" t="s">
        <v>47</v>
      </c>
      <c r="E179" s="20" t="s">
        <v>368</v>
      </c>
      <c r="F179" s="20" t="s">
        <v>47</v>
      </c>
      <c r="G179" s="20" t="s">
        <v>33</v>
      </c>
      <c r="H179" s="21" t="n">
        <v>20000</v>
      </c>
      <c r="I179" s="20" t="s">
        <v>34</v>
      </c>
      <c r="J179" s="19" t="s">
        <v>369</v>
      </c>
    </row>
    <row r="180" customFormat="false" ht="21.75" hidden="false" customHeight="true" outlineLevel="0" collapsed="false">
      <c r="A180" s="18" t="n">
        <f aca="false">IF(E180="","",COUNTA(E$15:E180))</f>
        <v>166</v>
      </c>
      <c r="B180" s="19" t="n">
        <v>2025</v>
      </c>
      <c r="C180" s="20" t="s">
        <v>29</v>
      </c>
      <c r="D180" s="20" t="s">
        <v>47</v>
      </c>
      <c r="E180" s="20" t="s">
        <v>370</v>
      </c>
      <c r="F180" s="20" t="s">
        <v>47</v>
      </c>
      <c r="G180" s="20" t="s">
        <v>33</v>
      </c>
      <c r="H180" s="21" t="n">
        <v>30000</v>
      </c>
      <c r="I180" s="20" t="s">
        <v>34</v>
      </c>
      <c r="J180" s="19" t="s">
        <v>371</v>
      </c>
    </row>
    <row r="181" customFormat="false" ht="21.75" hidden="false" customHeight="true" outlineLevel="0" collapsed="false">
      <c r="A181" s="18" t="n">
        <f aca="false">IF(E181="","",COUNTA(E$15:E181))</f>
        <v>167</v>
      </c>
      <c r="B181" s="19" t="n">
        <v>2025</v>
      </c>
      <c r="C181" s="20" t="s">
        <v>29</v>
      </c>
      <c r="D181" s="20" t="s">
        <v>47</v>
      </c>
      <c r="E181" s="20" t="s">
        <v>372</v>
      </c>
      <c r="F181" s="20" t="s">
        <v>47</v>
      </c>
      <c r="G181" s="20" t="s">
        <v>33</v>
      </c>
      <c r="H181" s="21" t="n">
        <v>30000</v>
      </c>
      <c r="I181" s="20" t="s">
        <v>34</v>
      </c>
      <c r="J181" s="19" t="s">
        <v>373</v>
      </c>
    </row>
    <row r="182" customFormat="false" ht="21.75" hidden="false" customHeight="true" outlineLevel="0" collapsed="false">
      <c r="A182" s="18" t="n">
        <f aca="false">IF(E182="","",COUNTA(E$15:E182))</f>
        <v>168</v>
      </c>
      <c r="B182" s="19" t="n">
        <v>2025</v>
      </c>
      <c r="C182" s="20" t="s">
        <v>29</v>
      </c>
      <c r="D182" s="20" t="s">
        <v>47</v>
      </c>
      <c r="E182" s="20" t="s">
        <v>374</v>
      </c>
      <c r="F182" s="20" t="s">
        <v>47</v>
      </c>
      <c r="G182" s="20" t="s">
        <v>33</v>
      </c>
      <c r="H182" s="21" t="n">
        <v>30000</v>
      </c>
      <c r="I182" s="20" t="s">
        <v>34</v>
      </c>
      <c r="J182" s="19" t="s">
        <v>375</v>
      </c>
    </row>
    <row r="183" customFormat="false" ht="21.75" hidden="false" customHeight="true" outlineLevel="0" collapsed="false">
      <c r="A183" s="18" t="n">
        <f aca="false">IF(E183="","",COUNTA(E$15:E183))</f>
        <v>169</v>
      </c>
      <c r="B183" s="19" t="n">
        <v>2025</v>
      </c>
      <c r="C183" s="20" t="s">
        <v>36</v>
      </c>
      <c r="D183" s="20" t="s">
        <v>50</v>
      </c>
      <c r="E183" s="20" t="s">
        <v>376</v>
      </c>
      <c r="F183" s="20" t="s">
        <v>50</v>
      </c>
      <c r="G183" s="20" t="s">
        <v>33</v>
      </c>
      <c r="H183" s="21" t="n">
        <v>13000</v>
      </c>
      <c r="I183" s="20" t="s">
        <v>34</v>
      </c>
      <c r="J183" s="19" t="s">
        <v>377</v>
      </c>
    </row>
    <row r="184" customFormat="false" ht="21.75" hidden="false" customHeight="true" outlineLevel="0" collapsed="false">
      <c r="A184" s="18" t="n">
        <f aca="false">IF(E184="","",COUNTA(E$15:E184))</f>
        <v>170</v>
      </c>
      <c r="B184" s="19" t="n">
        <v>2025</v>
      </c>
      <c r="C184" s="20" t="s">
        <v>36</v>
      </c>
      <c r="D184" s="20" t="s">
        <v>50</v>
      </c>
      <c r="E184" s="20" t="s">
        <v>378</v>
      </c>
      <c r="F184" s="20" t="s">
        <v>50</v>
      </c>
      <c r="G184" s="20" t="s">
        <v>33</v>
      </c>
      <c r="H184" s="21" t="n">
        <v>11000</v>
      </c>
      <c r="I184" s="20" t="s">
        <v>34</v>
      </c>
      <c r="J184" s="19" t="s">
        <v>379</v>
      </c>
    </row>
    <row r="185" customFormat="false" ht="21.75" hidden="false" customHeight="true" outlineLevel="0" collapsed="false">
      <c r="A185" s="18" t="n">
        <f aca="false">IF(E185="","",COUNTA(E$15:E185))</f>
        <v>171</v>
      </c>
      <c r="B185" s="19" t="n">
        <v>2025</v>
      </c>
      <c r="C185" s="20" t="s">
        <v>36</v>
      </c>
      <c r="D185" s="20" t="s">
        <v>50</v>
      </c>
      <c r="E185" s="20" t="s">
        <v>380</v>
      </c>
      <c r="F185" s="20" t="s">
        <v>50</v>
      </c>
      <c r="G185" s="20" t="s">
        <v>33</v>
      </c>
      <c r="H185" s="21" t="n">
        <v>10500</v>
      </c>
      <c r="I185" s="20" t="s">
        <v>34</v>
      </c>
      <c r="J185" s="19" t="s">
        <v>381</v>
      </c>
    </row>
    <row r="186" customFormat="false" ht="21.75" hidden="false" customHeight="true" outlineLevel="0" collapsed="false">
      <c r="A186" s="18" t="n">
        <f aca="false">IF(E186="","",COUNTA(E$15:E186))</f>
        <v>172</v>
      </c>
      <c r="B186" s="19" t="n">
        <v>2025</v>
      </c>
      <c r="C186" s="20" t="s">
        <v>36</v>
      </c>
      <c r="D186" s="20" t="s">
        <v>50</v>
      </c>
      <c r="E186" s="20" t="s">
        <v>382</v>
      </c>
      <c r="F186" s="20" t="s">
        <v>50</v>
      </c>
      <c r="G186" s="20" t="s">
        <v>33</v>
      </c>
      <c r="H186" s="21" t="n">
        <v>10500</v>
      </c>
      <c r="I186" s="20" t="s">
        <v>34</v>
      </c>
      <c r="J186" s="19" t="s">
        <v>383</v>
      </c>
    </row>
    <row r="187" customFormat="false" ht="21.75" hidden="false" customHeight="true" outlineLevel="0" collapsed="false">
      <c r="A187" s="18" t="n">
        <f aca="false">IF(E187="","",COUNTA(E$15:E187))</f>
        <v>173</v>
      </c>
      <c r="B187" s="19" t="n">
        <v>2025</v>
      </c>
      <c r="C187" s="20" t="s">
        <v>29</v>
      </c>
      <c r="D187" s="20" t="s">
        <v>50</v>
      </c>
      <c r="E187" s="20" t="s">
        <v>384</v>
      </c>
      <c r="F187" s="20" t="s">
        <v>50</v>
      </c>
      <c r="G187" s="20" t="s">
        <v>33</v>
      </c>
      <c r="H187" s="21" t="n">
        <v>30000</v>
      </c>
      <c r="I187" s="20" t="s">
        <v>34</v>
      </c>
      <c r="J187" s="19" t="s">
        <v>385</v>
      </c>
    </row>
    <row r="188" customFormat="false" ht="21.75" hidden="false" customHeight="true" outlineLevel="0" collapsed="false">
      <c r="A188" s="18" t="n">
        <f aca="false">IF(E188="","",COUNTA(E$15:E188))</f>
        <v>174</v>
      </c>
      <c r="B188" s="19" t="n">
        <v>2025</v>
      </c>
      <c r="C188" s="20" t="s">
        <v>29</v>
      </c>
      <c r="D188" s="20" t="s">
        <v>50</v>
      </c>
      <c r="E188" s="20" t="s">
        <v>386</v>
      </c>
      <c r="F188" s="20" t="s">
        <v>50</v>
      </c>
      <c r="G188" s="20" t="s">
        <v>33</v>
      </c>
      <c r="H188" s="21" t="n">
        <v>30000</v>
      </c>
      <c r="I188" s="20" t="s">
        <v>34</v>
      </c>
      <c r="J188" s="19" t="s">
        <v>387</v>
      </c>
    </row>
    <row r="189" customFormat="false" ht="21.75" hidden="false" customHeight="true" outlineLevel="0" collapsed="false">
      <c r="A189" s="18" t="n">
        <f aca="false">IF(E189="","",COUNTA(E$15:E189))</f>
        <v>175</v>
      </c>
      <c r="B189" s="19" t="n">
        <v>2025</v>
      </c>
      <c r="C189" s="20" t="s">
        <v>29</v>
      </c>
      <c r="D189" s="20" t="s">
        <v>50</v>
      </c>
      <c r="E189" s="20" t="s">
        <v>388</v>
      </c>
      <c r="F189" s="20" t="s">
        <v>50</v>
      </c>
      <c r="G189" s="20" t="s">
        <v>33</v>
      </c>
      <c r="H189" s="21" t="n">
        <v>30000</v>
      </c>
      <c r="I189" s="20" t="s">
        <v>34</v>
      </c>
      <c r="J189" s="19" t="s">
        <v>389</v>
      </c>
    </row>
    <row r="190" customFormat="false" ht="21.75" hidden="false" customHeight="true" outlineLevel="0" collapsed="false">
      <c r="A190" s="18" t="n">
        <f aca="false">IF(E190="","",COUNTA(E$15:E190))</f>
        <v>176</v>
      </c>
      <c r="B190" s="19" t="n">
        <v>2025</v>
      </c>
      <c r="C190" s="20" t="s">
        <v>29</v>
      </c>
      <c r="D190" s="20" t="s">
        <v>50</v>
      </c>
      <c r="E190" s="20" t="s">
        <v>390</v>
      </c>
      <c r="F190" s="20" t="s">
        <v>50</v>
      </c>
      <c r="G190" s="20" t="s">
        <v>33</v>
      </c>
      <c r="H190" s="21" t="n">
        <v>30000</v>
      </c>
      <c r="I190" s="20" t="s">
        <v>34</v>
      </c>
      <c r="J190" s="19" t="s">
        <v>391</v>
      </c>
    </row>
    <row r="191" customFormat="false" ht="21.75" hidden="false" customHeight="true" outlineLevel="0" collapsed="false">
      <c r="A191" s="18" t="n">
        <f aca="false">IF(E191="","",COUNTA(E$15:E191))</f>
        <v>177</v>
      </c>
      <c r="B191" s="19" t="n">
        <v>2025</v>
      </c>
      <c r="C191" s="20" t="s">
        <v>29</v>
      </c>
      <c r="D191" s="20" t="s">
        <v>50</v>
      </c>
      <c r="E191" s="20" t="s">
        <v>392</v>
      </c>
      <c r="F191" s="20" t="s">
        <v>50</v>
      </c>
      <c r="G191" s="20" t="s">
        <v>33</v>
      </c>
      <c r="H191" s="21" t="n">
        <v>30000</v>
      </c>
      <c r="I191" s="20" t="s">
        <v>34</v>
      </c>
      <c r="J191" s="19" t="s">
        <v>393</v>
      </c>
    </row>
    <row r="192" customFormat="false" ht="21.75" hidden="false" customHeight="true" outlineLevel="0" collapsed="false">
      <c r="A192" s="18" t="n">
        <f aca="false">IF(E192="","",COUNTA(E$15:E192))</f>
        <v>178</v>
      </c>
      <c r="B192" s="19" t="n">
        <v>2025</v>
      </c>
      <c r="C192" s="20" t="s">
        <v>29</v>
      </c>
      <c r="D192" s="20" t="s">
        <v>50</v>
      </c>
      <c r="E192" s="20" t="s">
        <v>394</v>
      </c>
      <c r="F192" s="20" t="s">
        <v>50</v>
      </c>
      <c r="G192" s="20" t="s">
        <v>33</v>
      </c>
      <c r="H192" s="21" t="n">
        <v>30000</v>
      </c>
      <c r="I192" s="20" t="s">
        <v>34</v>
      </c>
      <c r="J192" s="19" t="s">
        <v>395</v>
      </c>
    </row>
    <row r="193" customFormat="false" ht="21.75" hidden="false" customHeight="true" outlineLevel="0" collapsed="false">
      <c r="A193" s="18" t="n">
        <f aca="false">IF(E193="","",COUNTA(E$15:E193))</f>
        <v>179</v>
      </c>
      <c r="B193" s="19" t="n">
        <v>2025</v>
      </c>
      <c r="C193" s="20" t="s">
        <v>29</v>
      </c>
      <c r="D193" s="20" t="s">
        <v>50</v>
      </c>
      <c r="E193" s="20" t="s">
        <v>396</v>
      </c>
      <c r="F193" s="20" t="s">
        <v>50</v>
      </c>
      <c r="G193" s="20" t="s">
        <v>33</v>
      </c>
      <c r="H193" s="21" t="n">
        <v>30000</v>
      </c>
      <c r="I193" s="20" t="s">
        <v>34</v>
      </c>
      <c r="J193" s="19" t="s">
        <v>397</v>
      </c>
    </row>
    <row r="194" customFormat="false" ht="21.75" hidden="false" customHeight="true" outlineLevel="0" collapsed="false">
      <c r="A194" s="18" t="n">
        <f aca="false">IF(E194="","",COUNTA(E$15:E194))</f>
        <v>180</v>
      </c>
      <c r="B194" s="19" t="n">
        <v>2025</v>
      </c>
      <c r="C194" s="20" t="s">
        <v>29</v>
      </c>
      <c r="D194" s="20" t="s">
        <v>50</v>
      </c>
      <c r="E194" s="20" t="s">
        <v>398</v>
      </c>
      <c r="F194" s="20" t="s">
        <v>50</v>
      </c>
      <c r="G194" s="20" t="s">
        <v>33</v>
      </c>
      <c r="H194" s="21" t="n">
        <v>30000</v>
      </c>
      <c r="I194" s="20" t="s">
        <v>34</v>
      </c>
      <c r="J194" s="19" t="s">
        <v>399</v>
      </c>
    </row>
    <row r="195" customFormat="false" ht="21.75" hidden="false" customHeight="true" outlineLevel="0" collapsed="false">
      <c r="A195" s="18" t="n">
        <f aca="false">IF(E195="","",COUNTA(E$15:E195))</f>
        <v>181</v>
      </c>
      <c r="B195" s="19" t="n">
        <v>2025</v>
      </c>
      <c r="C195" s="20" t="s">
        <v>29</v>
      </c>
      <c r="D195" s="20" t="s">
        <v>50</v>
      </c>
      <c r="E195" s="20" t="s">
        <v>400</v>
      </c>
      <c r="F195" s="20" t="s">
        <v>50</v>
      </c>
      <c r="G195" s="20" t="s">
        <v>33</v>
      </c>
      <c r="H195" s="21" t="n">
        <v>30000</v>
      </c>
      <c r="I195" s="20" t="s">
        <v>34</v>
      </c>
      <c r="J195" s="19" t="s">
        <v>401</v>
      </c>
    </row>
    <row r="196" customFormat="false" ht="21.75" hidden="false" customHeight="true" outlineLevel="0" collapsed="false">
      <c r="A196" s="18" t="n">
        <f aca="false">IF(E196="","",COUNTA(E$15:E196))</f>
        <v>182</v>
      </c>
      <c r="B196" s="19" t="n">
        <v>2025</v>
      </c>
      <c r="C196" s="20" t="s">
        <v>36</v>
      </c>
      <c r="D196" s="20" t="s">
        <v>53</v>
      </c>
      <c r="E196" s="20" t="s">
        <v>402</v>
      </c>
      <c r="F196" s="20" t="s">
        <v>53</v>
      </c>
      <c r="G196" s="20" t="s">
        <v>33</v>
      </c>
      <c r="H196" s="21" t="n">
        <v>5000</v>
      </c>
      <c r="I196" s="20" t="s">
        <v>34</v>
      </c>
      <c r="J196" s="19" t="s">
        <v>403</v>
      </c>
    </row>
    <row r="197" customFormat="false" ht="21.75" hidden="false" customHeight="true" outlineLevel="0" collapsed="false">
      <c r="A197" s="18" t="n">
        <f aca="false">IF(E197="","",COUNTA(E$15:E197))</f>
        <v>183</v>
      </c>
      <c r="B197" s="19" t="n">
        <v>2025</v>
      </c>
      <c r="C197" s="20" t="s">
        <v>36</v>
      </c>
      <c r="D197" s="20" t="s">
        <v>53</v>
      </c>
      <c r="E197" s="20" t="s">
        <v>404</v>
      </c>
      <c r="F197" s="20" t="s">
        <v>53</v>
      </c>
      <c r="G197" s="20" t="s">
        <v>33</v>
      </c>
      <c r="H197" s="21" t="n">
        <v>40000</v>
      </c>
      <c r="I197" s="20" t="s">
        <v>34</v>
      </c>
      <c r="J197" s="19" t="s">
        <v>405</v>
      </c>
    </row>
    <row r="198" customFormat="false" ht="21.75" hidden="false" customHeight="true" outlineLevel="0" collapsed="false">
      <c r="A198" s="18" t="n">
        <f aca="false">IF(E198="","",COUNTA(E$15:E198))</f>
        <v>184</v>
      </c>
      <c r="B198" s="19" t="n">
        <v>2025</v>
      </c>
      <c r="C198" s="20" t="s">
        <v>29</v>
      </c>
      <c r="D198" s="20" t="s">
        <v>53</v>
      </c>
      <c r="E198" s="20" t="s">
        <v>406</v>
      </c>
      <c r="F198" s="20" t="s">
        <v>53</v>
      </c>
      <c r="G198" s="20" t="s">
        <v>33</v>
      </c>
      <c r="H198" s="21" t="n">
        <v>30000</v>
      </c>
      <c r="I198" s="20" t="s">
        <v>34</v>
      </c>
      <c r="J198" s="19" t="s">
        <v>407</v>
      </c>
    </row>
    <row r="199" customFormat="false" ht="21.75" hidden="false" customHeight="true" outlineLevel="0" collapsed="false">
      <c r="A199" s="18" t="n">
        <f aca="false">IF(E199="","",COUNTA(E$15:E199))</f>
        <v>185</v>
      </c>
      <c r="B199" s="19" t="n">
        <v>2025</v>
      </c>
      <c r="C199" s="20" t="s">
        <v>29</v>
      </c>
      <c r="D199" s="20" t="s">
        <v>53</v>
      </c>
      <c r="E199" s="20" t="s">
        <v>408</v>
      </c>
      <c r="F199" s="20" t="s">
        <v>53</v>
      </c>
      <c r="G199" s="20" t="s">
        <v>33</v>
      </c>
      <c r="H199" s="21" t="n">
        <v>30000</v>
      </c>
      <c r="I199" s="20" t="s">
        <v>34</v>
      </c>
      <c r="J199" s="19" t="s">
        <v>409</v>
      </c>
    </row>
    <row r="200" customFormat="false" ht="21.75" hidden="false" customHeight="true" outlineLevel="0" collapsed="false">
      <c r="A200" s="18" t="n">
        <f aca="false">IF(E200="","",COUNTA(E$15:E200))</f>
        <v>186</v>
      </c>
      <c r="B200" s="19" t="n">
        <v>2025</v>
      </c>
      <c r="C200" s="20" t="s">
        <v>29</v>
      </c>
      <c r="D200" s="20" t="s">
        <v>53</v>
      </c>
      <c r="E200" s="20" t="s">
        <v>410</v>
      </c>
      <c r="F200" s="20" t="s">
        <v>53</v>
      </c>
      <c r="G200" s="20" t="s">
        <v>33</v>
      </c>
      <c r="H200" s="21" t="n">
        <v>30000</v>
      </c>
      <c r="I200" s="20" t="s">
        <v>34</v>
      </c>
      <c r="J200" s="19" t="s">
        <v>411</v>
      </c>
    </row>
    <row r="201" customFormat="false" ht="21.75" hidden="false" customHeight="true" outlineLevel="0" collapsed="false">
      <c r="A201" s="18" t="n">
        <f aca="false">IF(E201="","",COUNTA(E$15:E201))</f>
        <v>187</v>
      </c>
      <c r="B201" s="19" t="n">
        <v>2025</v>
      </c>
      <c r="C201" s="20" t="s">
        <v>29</v>
      </c>
      <c r="D201" s="20" t="s">
        <v>53</v>
      </c>
      <c r="E201" s="20" t="s">
        <v>412</v>
      </c>
      <c r="F201" s="20" t="s">
        <v>53</v>
      </c>
      <c r="G201" s="20" t="s">
        <v>33</v>
      </c>
      <c r="H201" s="21" t="n">
        <v>25000</v>
      </c>
      <c r="I201" s="20" t="s">
        <v>34</v>
      </c>
      <c r="J201" s="19" t="s">
        <v>413</v>
      </c>
    </row>
    <row r="202" customFormat="false" ht="21.75" hidden="false" customHeight="true" outlineLevel="0" collapsed="false">
      <c r="A202" s="18" t="n">
        <f aca="false">IF(E202="","",COUNTA(E$15:E202))</f>
        <v>188</v>
      </c>
      <c r="B202" s="19" t="n">
        <v>2025</v>
      </c>
      <c r="C202" s="20" t="s">
        <v>29</v>
      </c>
      <c r="D202" s="20" t="s">
        <v>53</v>
      </c>
      <c r="E202" s="20" t="s">
        <v>414</v>
      </c>
      <c r="F202" s="20" t="s">
        <v>53</v>
      </c>
      <c r="G202" s="20" t="s">
        <v>33</v>
      </c>
      <c r="H202" s="21" t="n">
        <v>20000</v>
      </c>
      <c r="I202" s="20" t="s">
        <v>34</v>
      </c>
      <c r="J202" s="19" t="s">
        <v>415</v>
      </c>
    </row>
    <row r="203" customFormat="false" ht="21.75" hidden="false" customHeight="true" outlineLevel="0" collapsed="false">
      <c r="A203" s="18" t="n">
        <f aca="false">IF(E203="","",COUNTA(E$15:E203))</f>
        <v>189</v>
      </c>
      <c r="B203" s="19" t="n">
        <v>2025</v>
      </c>
      <c r="C203" s="20" t="s">
        <v>29</v>
      </c>
      <c r="D203" s="20" t="s">
        <v>53</v>
      </c>
      <c r="E203" s="20" t="s">
        <v>416</v>
      </c>
      <c r="F203" s="20" t="s">
        <v>53</v>
      </c>
      <c r="G203" s="20" t="s">
        <v>33</v>
      </c>
      <c r="H203" s="21" t="n">
        <v>40000</v>
      </c>
      <c r="I203" s="20" t="s">
        <v>34</v>
      </c>
      <c r="J203" s="19" t="s">
        <v>417</v>
      </c>
    </row>
    <row r="204" customFormat="false" ht="21.75" hidden="false" customHeight="true" outlineLevel="0" collapsed="false">
      <c r="A204" s="18" t="n">
        <f aca="false">IF(E204="","",COUNTA(E$15:E204))</f>
        <v>190</v>
      </c>
      <c r="B204" s="19" t="n">
        <v>2025</v>
      </c>
      <c r="C204" s="20" t="s">
        <v>29</v>
      </c>
      <c r="D204" s="20" t="s">
        <v>53</v>
      </c>
      <c r="E204" s="20" t="s">
        <v>418</v>
      </c>
      <c r="F204" s="20" t="s">
        <v>53</v>
      </c>
      <c r="G204" s="20" t="s">
        <v>33</v>
      </c>
      <c r="H204" s="21" t="n">
        <v>25000</v>
      </c>
      <c r="I204" s="20" t="s">
        <v>34</v>
      </c>
      <c r="J204" s="19" t="s">
        <v>419</v>
      </c>
    </row>
    <row r="205" customFormat="false" ht="21.75" hidden="false" customHeight="true" outlineLevel="0" collapsed="false">
      <c r="A205" s="18" t="n">
        <f aca="false">IF(E205="","",COUNTA(E$15:E205))</f>
        <v>191</v>
      </c>
      <c r="B205" s="19" t="n">
        <v>2025</v>
      </c>
      <c r="C205" s="20" t="s">
        <v>29</v>
      </c>
      <c r="D205" s="20" t="s">
        <v>53</v>
      </c>
      <c r="E205" s="20" t="s">
        <v>420</v>
      </c>
      <c r="F205" s="20" t="s">
        <v>53</v>
      </c>
      <c r="G205" s="20" t="s">
        <v>33</v>
      </c>
      <c r="H205" s="21" t="n">
        <v>30000</v>
      </c>
      <c r="I205" s="20" t="s">
        <v>34</v>
      </c>
      <c r="J205" s="19" t="s">
        <v>421</v>
      </c>
    </row>
    <row r="206" customFormat="false" ht="21.75" hidden="false" customHeight="true" outlineLevel="0" collapsed="false">
      <c r="A206" s="18" t="n">
        <f aca="false">IF(E206="","",COUNTA(E$15:E206))</f>
        <v>192</v>
      </c>
      <c r="B206" s="19" t="n">
        <v>2025</v>
      </c>
      <c r="C206" s="20" t="s">
        <v>29</v>
      </c>
      <c r="D206" s="20" t="s">
        <v>53</v>
      </c>
      <c r="E206" s="20" t="s">
        <v>422</v>
      </c>
      <c r="F206" s="20" t="s">
        <v>53</v>
      </c>
      <c r="G206" s="20" t="s">
        <v>33</v>
      </c>
      <c r="H206" s="21" t="n">
        <v>30000</v>
      </c>
      <c r="I206" s="20" t="s">
        <v>34</v>
      </c>
      <c r="J206" s="19" t="s">
        <v>423</v>
      </c>
    </row>
    <row r="207" customFormat="false" ht="21.75" hidden="false" customHeight="true" outlineLevel="0" collapsed="false">
      <c r="A207" s="18" t="n">
        <f aca="false">IF(E207="","",COUNTA(E$15:E207))</f>
        <v>193</v>
      </c>
      <c r="B207" s="19" t="n">
        <v>2025</v>
      </c>
      <c r="C207" s="20" t="s">
        <v>29</v>
      </c>
      <c r="D207" s="20" t="s">
        <v>53</v>
      </c>
      <c r="E207" s="20" t="s">
        <v>424</v>
      </c>
      <c r="F207" s="20" t="s">
        <v>53</v>
      </c>
      <c r="G207" s="20" t="s">
        <v>33</v>
      </c>
      <c r="H207" s="21" t="n">
        <v>20000</v>
      </c>
      <c r="I207" s="20" t="s">
        <v>34</v>
      </c>
      <c r="J207" s="19" t="s">
        <v>425</v>
      </c>
    </row>
    <row r="208" customFormat="false" ht="21.75" hidden="false" customHeight="true" outlineLevel="0" collapsed="false">
      <c r="A208" s="18" t="n">
        <f aca="false">IF(E208="","",COUNTA(E$15:E208))</f>
        <v>194</v>
      </c>
      <c r="B208" s="19" t="n">
        <v>2025</v>
      </c>
      <c r="C208" s="20" t="s">
        <v>36</v>
      </c>
      <c r="D208" s="20" t="s">
        <v>56</v>
      </c>
      <c r="E208" s="20" t="s">
        <v>226</v>
      </c>
      <c r="F208" s="20" t="s">
        <v>56</v>
      </c>
      <c r="G208" s="20" t="s">
        <v>33</v>
      </c>
      <c r="H208" s="21" t="n">
        <v>13000</v>
      </c>
      <c r="I208" s="20" t="s">
        <v>34</v>
      </c>
      <c r="J208" s="19" t="s">
        <v>426</v>
      </c>
    </row>
    <row r="209" customFormat="false" ht="21.75" hidden="false" customHeight="true" outlineLevel="0" collapsed="false">
      <c r="A209" s="18" t="n">
        <f aca="false">IF(E209="","",COUNTA(E$15:E209))</f>
        <v>195</v>
      </c>
      <c r="B209" s="19" t="n">
        <v>2025</v>
      </c>
      <c r="C209" s="20" t="s">
        <v>36</v>
      </c>
      <c r="D209" s="20" t="s">
        <v>56</v>
      </c>
      <c r="E209" s="20" t="s">
        <v>228</v>
      </c>
      <c r="F209" s="20" t="s">
        <v>56</v>
      </c>
      <c r="G209" s="20" t="s">
        <v>33</v>
      </c>
      <c r="H209" s="21" t="n">
        <v>15000</v>
      </c>
      <c r="I209" s="20" t="s">
        <v>34</v>
      </c>
      <c r="J209" s="19" t="s">
        <v>427</v>
      </c>
    </row>
    <row r="210" customFormat="false" ht="21.75" hidden="false" customHeight="true" outlineLevel="0" collapsed="false">
      <c r="A210" s="18" t="n">
        <f aca="false">IF(E210="","",COUNTA(E$15:E210))</f>
        <v>196</v>
      </c>
      <c r="B210" s="19" t="n">
        <v>2025</v>
      </c>
      <c r="C210" s="20" t="s">
        <v>36</v>
      </c>
      <c r="D210" s="20" t="s">
        <v>56</v>
      </c>
      <c r="E210" s="20" t="s">
        <v>428</v>
      </c>
      <c r="F210" s="20" t="s">
        <v>56</v>
      </c>
      <c r="G210" s="20" t="s">
        <v>33</v>
      </c>
      <c r="H210" s="21" t="n">
        <v>10000</v>
      </c>
      <c r="I210" s="20" t="s">
        <v>34</v>
      </c>
      <c r="J210" s="19" t="s">
        <v>429</v>
      </c>
    </row>
    <row r="211" customFormat="false" ht="21.75" hidden="false" customHeight="true" outlineLevel="0" collapsed="false">
      <c r="A211" s="18" t="n">
        <f aca="false">IF(E211="","",COUNTA(E$15:E211))</f>
        <v>197</v>
      </c>
      <c r="B211" s="19" t="n">
        <v>2025</v>
      </c>
      <c r="C211" s="20" t="s">
        <v>36</v>
      </c>
      <c r="D211" s="20" t="s">
        <v>56</v>
      </c>
      <c r="E211" s="20" t="s">
        <v>232</v>
      </c>
      <c r="F211" s="20" t="s">
        <v>56</v>
      </c>
      <c r="G211" s="20" t="s">
        <v>33</v>
      </c>
      <c r="H211" s="21" t="n">
        <v>3000</v>
      </c>
      <c r="I211" s="20" t="s">
        <v>34</v>
      </c>
      <c r="J211" s="19" t="s">
        <v>430</v>
      </c>
    </row>
    <row r="212" customFormat="false" ht="21.75" hidden="false" customHeight="true" outlineLevel="0" collapsed="false">
      <c r="A212" s="18" t="n">
        <f aca="false">IF(E212="","",COUNTA(E$15:E212))</f>
        <v>198</v>
      </c>
      <c r="B212" s="19" t="n">
        <v>2025</v>
      </c>
      <c r="C212" s="20" t="s">
        <v>29</v>
      </c>
      <c r="D212" s="20" t="s">
        <v>56</v>
      </c>
      <c r="E212" s="20" t="s">
        <v>431</v>
      </c>
      <c r="F212" s="20" t="s">
        <v>56</v>
      </c>
      <c r="G212" s="20" t="s">
        <v>33</v>
      </c>
      <c r="H212" s="21" t="n">
        <v>30000</v>
      </c>
      <c r="I212" s="20" t="s">
        <v>34</v>
      </c>
      <c r="J212" s="19" t="s">
        <v>432</v>
      </c>
    </row>
    <row r="213" customFormat="false" ht="21.75" hidden="false" customHeight="true" outlineLevel="0" collapsed="false">
      <c r="A213" s="18" t="n">
        <f aca="false">IF(E213="","",COUNTA(E$15:E213))</f>
        <v>199</v>
      </c>
      <c r="B213" s="19" t="n">
        <v>2025</v>
      </c>
      <c r="C213" s="20" t="s">
        <v>29</v>
      </c>
      <c r="D213" s="20" t="s">
        <v>56</v>
      </c>
      <c r="E213" s="20" t="s">
        <v>433</v>
      </c>
      <c r="F213" s="20" t="s">
        <v>56</v>
      </c>
      <c r="G213" s="20" t="s">
        <v>33</v>
      </c>
      <c r="H213" s="21" t="n">
        <v>20000</v>
      </c>
      <c r="I213" s="20" t="s">
        <v>34</v>
      </c>
      <c r="J213" s="19" t="s">
        <v>434</v>
      </c>
    </row>
    <row r="214" customFormat="false" ht="21.75" hidden="false" customHeight="true" outlineLevel="0" collapsed="false">
      <c r="A214" s="18" t="n">
        <f aca="false">IF(E214="","",COUNTA(E$15:E214))</f>
        <v>200</v>
      </c>
      <c r="B214" s="19" t="n">
        <v>2025</v>
      </c>
      <c r="C214" s="20" t="s">
        <v>29</v>
      </c>
      <c r="D214" s="20" t="s">
        <v>56</v>
      </c>
      <c r="E214" s="20" t="s">
        <v>435</v>
      </c>
      <c r="F214" s="20" t="s">
        <v>56</v>
      </c>
      <c r="G214" s="20" t="s">
        <v>33</v>
      </c>
      <c r="H214" s="21" t="n">
        <v>30000</v>
      </c>
      <c r="I214" s="20" t="s">
        <v>34</v>
      </c>
      <c r="J214" s="19" t="s">
        <v>436</v>
      </c>
    </row>
    <row r="215" customFormat="false" ht="21.75" hidden="false" customHeight="true" outlineLevel="0" collapsed="false">
      <c r="A215" s="18" t="n">
        <f aca="false">IF(E215="","",COUNTA(E$15:E215))</f>
        <v>201</v>
      </c>
      <c r="B215" s="19" t="n">
        <v>2025</v>
      </c>
      <c r="C215" s="20" t="s">
        <v>29</v>
      </c>
      <c r="D215" s="20" t="s">
        <v>56</v>
      </c>
      <c r="E215" s="20" t="s">
        <v>437</v>
      </c>
      <c r="F215" s="20" t="s">
        <v>56</v>
      </c>
      <c r="G215" s="20" t="s">
        <v>33</v>
      </c>
      <c r="H215" s="21" t="n">
        <v>30000</v>
      </c>
      <c r="I215" s="20" t="s">
        <v>34</v>
      </c>
      <c r="J215" s="19" t="s">
        <v>438</v>
      </c>
    </row>
    <row r="216" customFormat="false" ht="21.75" hidden="false" customHeight="true" outlineLevel="0" collapsed="false">
      <c r="A216" s="18" t="n">
        <f aca="false">IF(E216="","",COUNTA(E$15:E216))</f>
        <v>202</v>
      </c>
      <c r="B216" s="19" t="n">
        <v>2025</v>
      </c>
      <c r="C216" s="20" t="s">
        <v>29</v>
      </c>
      <c r="D216" s="20" t="s">
        <v>56</v>
      </c>
      <c r="E216" s="20" t="s">
        <v>439</v>
      </c>
      <c r="F216" s="20" t="s">
        <v>56</v>
      </c>
      <c r="G216" s="20" t="s">
        <v>33</v>
      </c>
      <c r="H216" s="21" t="n">
        <v>30000</v>
      </c>
      <c r="I216" s="20" t="s">
        <v>34</v>
      </c>
      <c r="J216" s="19" t="s">
        <v>440</v>
      </c>
    </row>
    <row r="217" customFormat="false" ht="21.75" hidden="false" customHeight="true" outlineLevel="0" collapsed="false">
      <c r="A217" s="18" t="n">
        <f aca="false">IF(E217="","",COUNTA(E$15:E217))</f>
        <v>203</v>
      </c>
      <c r="B217" s="19" t="n">
        <v>2025</v>
      </c>
      <c r="C217" s="20" t="s">
        <v>29</v>
      </c>
      <c r="D217" s="20" t="s">
        <v>56</v>
      </c>
      <c r="E217" s="20" t="s">
        <v>441</v>
      </c>
      <c r="F217" s="20" t="s">
        <v>56</v>
      </c>
      <c r="G217" s="20" t="s">
        <v>33</v>
      </c>
      <c r="H217" s="21" t="n">
        <v>30000</v>
      </c>
      <c r="I217" s="20" t="s">
        <v>34</v>
      </c>
      <c r="J217" s="19" t="s">
        <v>442</v>
      </c>
    </row>
    <row r="218" customFormat="false" ht="21.75" hidden="false" customHeight="true" outlineLevel="0" collapsed="false">
      <c r="A218" s="18" t="n">
        <f aca="false">IF(E218="","",COUNTA(E$15:E218))</f>
        <v>204</v>
      </c>
      <c r="B218" s="19" t="n">
        <v>2025</v>
      </c>
      <c r="C218" s="20" t="s">
        <v>29</v>
      </c>
      <c r="D218" s="20" t="s">
        <v>56</v>
      </c>
      <c r="E218" s="20" t="s">
        <v>443</v>
      </c>
      <c r="F218" s="20" t="s">
        <v>56</v>
      </c>
      <c r="G218" s="20" t="s">
        <v>33</v>
      </c>
      <c r="H218" s="21" t="n">
        <v>30000</v>
      </c>
      <c r="I218" s="20" t="s">
        <v>34</v>
      </c>
      <c r="J218" s="19" t="s">
        <v>444</v>
      </c>
    </row>
    <row r="219" customFormat="false" ht="21.75" hidden="false" customHeight="true" outlineLevel="0" collapsed="false">
      <c r="A219" s="18" t="n">
        <f aca="false">IF(E219="","",COUNTA(E$15:E219))</f>
        <v>205</v>
      </c>
      <c r="B219" s="19" t="n">
        <v>2025</v>
      </c>
      <c r="C219" s="20" t="s">
        <v>36</v>
      </c>
      <c r="D219" s="20" t="s">
        <v>61</v>
      </c>
      <c r="E219" s="20" t="s">
        <v>445</v>
      </c>
      <c r="F219" s="20" t="s">
        <v>61</v>
      </c>
      <c r="G219" s="20" t="s">
        <v>33</v>
      </c>
      <c r="H219" s="21" t="n">
        <v>20000</v>
      </c>
      <c r="I219" s="20" t="s">
        <v>34</v>
      </c>
      <c r="J219" s="19" t="s">
        <v>446</v>
      </c>
    </row>
    <row r="220" customFormat="false" ht="21.75" hidden="false" customHeight="true" outlineLevel="0" collapsed="false">
      <c r="A220" s="18" t="n">
        <f aca="false">IF(E220="","",COUNTA(E$15:E220))</f>
        <v>206</v>
      </c>
      <c r="B220" s="19" t="n">
        <v>2025</v>
      </c>
      <c r="C220" s="20" t="s">
        <v>36</v>
      </c>
      <c r="D220" s="20" t="s">
        <v>61</v>
      </c>
      <c r="E220" s="20" t="s">
        <v>447</v>
      </c>
      <c r="F220" s="20" t="s">
        <v>61</v>
      </c>
      <c r="G220" s="20" t="s">
        <v>33</v>
      </c>
      <c r="H220" s="21" t="n">
        <v>17000</v>
      </c>
      <c r="I220" s="20" t="s">
        <v>34</v>
      </c>
      <c r="J220" s="19" t="s">
        <v>448</v>
      </c>
    </row>
    <row r="221" customFormat="false" ht="21.75" hidden="false" customHeight="true" outlineLevel="0" collapsed="false">
      <c r="A221" s="18" t="n">
        <f aca="false">IF(E221="","",COUNTA(E$15:E221))</f>
        <v>207</v>
      </c>
      <c r="B221" s="19" t="n">
        <v>2025</v>
      </c>
      <c r="C221" s="20" t="s">
        <v>29</v>
      </c>
      <c r="D221" s="20" t="s">
        <v>61</v>
      </c>
      <c r="E221" s="20" t="s">
        <v>449</v>
      </c>
      <c r="F221" s="20" t="s">
        <v>61</v>
      </c>
      <c r="G221" s="20" t="s">
        <v>33</v>
      </c>
      <c r="H221" s="21" t="n">
        <v>20000</v>
      </c>
      <c r="I221" s="20" t="s">
        <v>34</v>
      </c>
      <c r="J221" s="19" t="s">
        <v>450</v>
      </c>
    </row>
    <row r="222" customFormat="false" ht="21.75" hidden="false" customHeight="true" outlineLevel="0" collapsed="false">
      <c r="A222" s="18" t="n">
        <f aca="false">IF(E222="","",COUNTA(E$15:E222))</f>
        <v>208</v>
      </c>
      <c r="B222" s="19" t="n">
        <v>2025</v>
      </c>
      <c r="C222" s="20" t="s">
        <v>29</v>
      </c>
      <c r="D222" s="20" t="s">
        <v>61</v>
      </c>
      <c r="E222" s="20" t="s">
        <v>451</v>
      </c>
      <c r="F222" s="20" t="s">
        <v>61</v>
      </c>
      <c r="G222" s="20" t="s">
        <v>33</v>
      </c>
      <c r="H222" s="21" t="n">
        <v>30000</v>
      </c>
      <c r="I222" s="20" t="s">
        <v>34</v>
      </c>
      <c r="J222" s="19" t="s">
        <v>452</v>
      </c>
    </row>
    <row r="223" customFormat="false" ht="21.75" hidden="false" customHeight="true" outlineLevel="0" collapsed="false">
      <c r="A223" s="18" t="n">
        <f aca="false">IF(E223="","",COUNTA(E$15:E223))</f>
        <v>209</v>
      </c>
      <c r="B223" s="19" t="n">
        <v>2025</v>
      </c>
      <c r="C223" s="20" t="s">
        <v>29</v>
      </c>
      <c r="D223" s="20" t="s">
        <v>61</v>
      </c>
      <c r="E223" s="20" t="s">
        <v>453</v>
      </c>
      <c r="F223" s="20" t="s">
        <v>61</v>
      </c>
      <c r="G223" s="20" t="s">
        <v>33</v>
      </c>
      <c r="H223" s="21" t="n">
        <v>30000</v>
      </c>
      <c r="I223" s="20" t="s">
        <v>34</v>
      </c>
      <c r="J223" s="19" t="s">
        <v>454</v>
      </c>
    </row>
    <row r="224" customFormat="false" ht="21.75" hidden="false" customHeight="true" outlineLevel="0" collapsed="false">
      <c r="A224" s="18" t="n">
        <f aca="false">IF(E224="","",COUNTA(E$15:E224))</f>
        <v>210</v>
      </c>
      <c r="B224" s="19" t="n">
        <v>2025</v>
      </c>
      <c r="C224" s="20" t="s">
        <v>29</v>
      </c>
      <c r="D224" s="20" t="s">
        <v>61</v>
      </c>
      <c r="E224" s="20" t="s">
        <v>455</v>
      </c>
      <c r="F224" s="20" t="s">
        <v>61</v>
      </c>
      <c r="G224" s="20" t="s">
        <v>33</v>
      </c>
      <c r="H224" s="21" t="n">
        <v>30000</v>
      </c>
      <c r="I224" s="20" t="s">
        <v>34</v>
      </c>
      <c r="J224" s="19" t="s">
        <v>456</v>
      </c>
    </row>
    <row r="225" customFormat="false" ht="21.75" hidden="false" customHeight="true" outlineLevel="0" collapsed="false">
      <c r="A225" s="18" t="n">
        <f aca="false">IF(E225="","",COUNTA(E$15:E225))</f>
        <v>211</v>
      </c>
      <c r="B225" s="19" t="n">
        <v>2025</v>
      </c>
      <c r="C225" s="20" t="s">
        <v>29</v>
      </c>
      <c r="D225" s="20" t="s">
        <v>61</v>
      </c>
      <c r="E225" s="20" t="s">
        <v>457</v>
      </c>
      <c r="F225" s="20" t="s">
        <v>61</v>
      </c>
      <c r="G225" s="20" t="s">
        <v>33</v>
      </c>
      <c r="H225" s="21" t="n">
        <v>30000</v>
      </c>
      <c r="I225" s="20" t="s">
        <v>34</v>
      </c>
      <c r="J225" s="19" t="s">
        <v>458</v>
      </c>
    </row>
    <row r="226" customFormat="false" ht="21.75" hidden="false" customHeight="true" outlineLevel="0" collapsed="false">
      <c r="A226" s="18" t="n">
        <f aca="false">IF(E226="","",COUNTA(E$15:E226))</f>
        <v>212</v>
      </c>
      <c r="B226" s="19" t="n">
        <v>2025</v>
      </c>
      <c r="C226" s="20" t="s">
        <v>29</v>
      </c>
      <c r="D226" s="20" t="s">
        <v>61</v>
      </c>
      <c r="E226" s="20" t="s">
        <v>459</v>
      </c>
      <c r="F226" s="20" t="s">
        <v>61</v>
      </c>
      <c r="G226" s="20" t="s">
        <v>33</v>
      </c>
      <c r="H226" s="21" t="n">
        <v>30000</v>
      </c>
      <c r="I226" s="20" t="s">
        <v>34</v>
      </c>
      <c r="J226" s="19" t="s">
        <v>460</v>
      </c>
    </row>
    <row r="227" customFormat="false" ht="21.75" hidden="false" customHeight="true" outlineLevel="0" collapsed="false">
      <c r="A227" s="18" t="n">
        <f aca="false">IF(E227="","",COUNTA(E$15:E227))</f>
        <v>213</v>
      </c>
      <c r="B227" s="19" t="n">
        <v>2025</v>
      </c>
      <c r="C227" s="20" t="s">
        <v>29</v>
      </c>
      <c r="D227" s="20" t="s">
        <v>61</v>
      </c>
      <c r="E227" s="20" t="s">
        <v>461</v>
      </c>
      <c r="F227" s="20" t="s">
        <v>61</v>
      </c>
      <c r="G227" s="20" t="s">
        <v>33</v>
      </c>
      <c r="H227" s="21" t="n">
        <v>30000</v>
      </c>
      <c r="I227" s="20" t="s">
        <v>34</v>
      </c>
      <c r="J227" s="19" t="s">
        <v>462</v>
      </c>
    </row>
    <row r="228" customFormat="false" ht="21.75" hidden="false" customHeight="true" outlineLevel="0" collapsed="false">
      <c r="A228" s="18" t="n">
        <f aca="false">IF(E228="","",COUNTA(E$15:E228))</f>
        <v>214</v>
      </c>
      <c r="B228" s="19" t="n">
        <v>2025</v>
      </c>
      <c r="C228" s="20" t="s">
        <v>29</v>
      </c>
      <c r="D228" s="20" t="s">
        <v>61</v>
      </c>
      <c r="E228" s="20" t="s">
        <v>463</v>
      </c>
      <c r="F228" s="20" t="s">
        <v>61</v>
      </c>
      <c r="G228" s="20" t="s">
        <v>33</v>
      </c>
      <c r="H228" s="21" t="n">
        <v>30000</v>
      </c>
      <c r="I228" s="20" t="s">
        <v>34</v>
      </c>
      <c r="J228" s="19" t="s">
        <v>464</v>
      </c>
    </row>
    <row r="229" customFormat="false" ht="21.75" hidden="false" customHeight="true" outlineLevel="0" collapsed="false">
      <c r="A229" s="18" t="str">
        <f aca="false">IF(E229="","",COUNTA(E$15:E229))</f>
        <v/>
      </c>
      <c r="B229" s="19"/>
      <c r="C229" s="20"/>
      <c r="D229" s="19"/>
      <c r="E229" s="19"/>
      <c r="F229" s="19"/>
      <c r="G229" s="20"/>
      <c r="H229" s="21"/>
      <c r="I229" s="20"/>
      <c r="J229" s="19"/>
    </row>
    <row r="230" customFormat="false" ht="21.75" hidden="false" customHeight="true" outlineLevel="0" collapsed="false">
      <c r="A230" s="18" t="str">
        <f aca="false">IF(E230="","",COUNTA(E$15:E230))</f>
        <v/>
      </c>
      <c r="B230" s="19"/>
      <c r="C230" s="20"/>
      <c r="D230" s="19"/>
      <c r="E230" s="19"/>
      <c r="F230" s="19"/>
      <c r="G230" s="20"/>
      <c r="H230" s="21"/>
      <c r="I230" s="20"/>
      <c r="J230" s="19"/>
    </row>
    <row r="231" customFormat="false" ht="21.75" hidden="false" customHeight="true" outlineLevel="0" collapsed="false">
      <c r="A231" s="18" t="str">
        <f aca="false">IF(E231="","",COUNTA(E$15:E231))</f>
        <v/>
      </c>
      <c r="B231" s="19"/>
      <c r="C231" s="20"/>
      <c r="D231" s="19"/>
      <c r="E231" s="19"/>
      <c r="F231" s="19"/>
      <c r="G231" s="20"/>
      <c r="H231" s="21"/>
      <c r="I231" s="20"/>
      <c r="J231" s="19"/>
    </row>
    <row r="232" customFormat="false" ht="21.75" hidden="false" customHeight="true" outlineLevel="0" collapsed="false">
      <c r="A232" s="18" t="str">
        <f aca="false">IF(E232="","",COUNTA(E$15:E232))</f>
        <v/>
      </c>
      <c r="B232" s="19"/>
      <c r="C232" s="20"/>
      <c r="D232" s="19"/>
      <c r="E232" s="19"/>
      <c r="F232" s="19"/>
      <c r="G232" s="20"/>
      <c r="H232" s="21"/>
      <c r="I232" s="20"/>
      <c r="J232" s="19"/>
    </row>
    <row r="233" customFormat="false" ht="21.75" hidden="false" customHeight="true" outlineLevel="0" collapsed="false">
      <c r="A233" s="18" t="str">
        <f aca="false">IF(E233="","",COUNTA(E$15:E233))</f>
        <v/>
      </c>
      <c r="B233" s="19"/>
      <c r="C233" s="20"/>
      <c r="D233" s="19"/>
      <c r="E233" s="19"/>
      <c r="F233" s="19"/>
      <c r="G233" s="20"/>
      <c r="H233" s="21"/>
      <c r="I233" s="20"/>
      <c r="J233" s="19"/>
    </row>
    <row r="234" customFormat="false" ht="21.75" hidden="false" customHeight="true" outlineLevel="0" collapsed="false">
      <c r="A234" s="18" t="str">
        <f aca="false">IF(E234="","",COUNTA(E$15:E234))</f>
        <v/>
      </c>
      <c r="B234" s="19"/>
      <c r="C234" s="20"/>
      <c r="D234" s="19"/>
      <c r="E234" s="19"/>
      <c r="F234" s="19"/>
      <c r="G234" s="20"/>
      <c r="H234" s="21"/>
      <c r="I234" s="20"/>
      <c r="J234" s="19"/>
    </row>
    <row r="235" customFormat="false" ht="21.75" hidden="false" customHeight="true" outlineLevel="0" collapsed="false">
      <c r="A235" s="18" t="str">
        <f aca="false">IF(E235="","",COUNTA(E$15:E235))</f>
        <v/>
      </c>
      <c r="B235" s="19"/>
      <c r="C235" s="20"/>
      <c r="D235" s="19"/>
      <c r="E235" s="19"/>
      <c r="F235" s="19"/>
      <c r="G235" s="20"/>
      <c r="H235" s="21"/>
      <c r="I235" s="20"/>
      <c r="J235" s="19"/>
    </row>
    <row r="236" customFormat="false" ht="21.75" hidden="false" customHeight="true" outlineLevel="0" collapsed="false">
      <c r="A236" s="18" t="str">
        <f aca="false">IF(E236="","",COUNTA(E$15:E236))</f>
        <v/>
      </c>
      <c r="B236" s="19"/>
      <c r="C236" s="20"/>
      <c r="D236" s="19"/>
      <c r="E236" s="19"/>
      <c r="F236" s="19"/>
      <c r="G236" s="20"/>
      <c r="H236" s="21"/>
      <c r="I236" s="20"/>
      <c r="J236" s="19"/>
    </row>
    <row r="237" customFormat="false" ht="21.75" hidden="false" customHeight="true" outlineLevel="0" collapsed="false">
      <c r="A237" s="18" t="str">
        <f aca="false">IF(E237="","",COUNTA(E$15:E237))</f>
        <v/>
      </c>
      <c r="B237" s="19"/>
      <c r="C237" s="20"/>
      <c r="D237" s="19"/>
      <c r="E237" s="19"/>
      <c r="F237" s="19"/>
      <c r="G237" s="20"/>
      <c r="H237" s="21"/>
      <c r="I237" s="20"/>
      <c r="J237" s="19"/>
    </row>
    <row r="238" customFormat="false" ht="21.75" hidden="false" customHeight="true" outlineLevel="0" collapsed="false">
      <c r="A238" s="18" t="str">
        <f aca="false">IF(E238="","",COUNTA(E$15:E238))</f>
        <v/>
      </c>
      <c r="B238" s="19"/>
      <c r="C238" s="20"/>
      <c r="D238" s="19"/>
      <c r="E238" s="19"/>
      <c r="F238" s="19"/>
      <c r="G238" s="20"/>
      <c r="H238" s="21"/>
      <c r="I238" s="20"/>
      <c r="J238" s="19"/>
    </row>
    <row r="240" customFormat="false" ht="30" hidden="false" customHeight="true" outlineLevel="0" collapsed="false">
      <c r="A240" s="22" t="s">
        <v>465</v>
      </c>
      <c r="B240" s="22"/>
      <c r="C240" s="22"/>
      <c r="D240" s="22"/>
      <c r="E240" s="22"/>
      <c r="F240" s="22"/>
      <c r="G240" s="22"/>
      <c r="H240" s="22"/>
      <c r="I240" s="22"/>
      <c r="J240" s="22"/>
    </row>
  </sheetData>
  <mergeCells count="22">
    <mergeCell ref="A1:J1"/>
    <mergeCell ref="A2:J2"/>
    <mergeCell ref="A3:J3"/>
    <mergeCell ref="A5:C5"/>
    <mergeCell ref="D5:E5"/>
    <mergeCell ref="F5:J5"/>
    <mergeCell ref="A6:C6"/>
    <mergeCell ref="D6:E6"/>
    <mergeCell ref="F6:J6"/>
    <mergeCell ref="A7:C7"/>
    <mergeCell ref="D7:E7"/>
    <mergeCell ref="F7:J7"/>
    <mergeCell ref="A8:C8"/>
    <mergeCell ref="D8:E8"/>
    <mergeCell ref="F8:J8"/>
    <mergeCell ref="A9:C9"/>
    <mergeCell ref="D9:E9"/>
    <mergeCell ref="F9:J9"/>
    <mergeCell ref="A10:C10"/>
    <mergeCell ref="D10:E10"/>
    <mergeCell ref="F10:J10"/>
    <mergeCell ref="A240:J240"/>
  </mergeCells>
  <dataValidations count="4">
    <dataValidation allowBlank="true" errorStyle="stop" operator="between" showDropDown="false" showErrorMessage="false" showInputMessage="false" sqref="B14:B238" type="list">
      <formula1>"2026,2025"</formula1>
      <formula2>0</formula2>
    </dataValidation>
    <dataValidation allowBlank="true" errorStyle="stop" operator="between" showDropDown="false" showErrorMessage="false" showInputMessage="false" sqref="C14:C238" type="list">
      <formula1>"지역회의형,주민자치회형,군민참여형,아동·청소년참여형,주민주도 보조사업형,기타"</formula1>
      <formula2>0</formula2>
    </dataValidation>
    <dataValidation allowBlank="true" errorStyle="stop" operator="between" showDropDown="false" showErrorMessage="false" showInputMessage="false" sqref="G14:G238" type="list">
      <formula1>"본예산,1회추경,2회추경,3회추경"</formula1>
      <formula2>0</formula2>
    </dataValidation>
    <dataValidation allowBlank="true" errorStyle="stop" operator="between" showDropDown="false" showErrorMessage="false" showInputMessage="false" sqref="I14:I238" type="list">
      <formula1>"포함,제외"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24"/>
    <col collapsed="false" customWidth="true" hidden="false" outlineLevel="0" max="9" min="9" style="0" width="16"/>
  </cols>
  <sheetData>
    <row r="1" customFormat="false" ht="19.4" hidden="false" customHeight="false" outlineLevel="0" collapsed="false">
      <c r="A1" s="1" t="s">
        <v>466</v>
      </c>
      <c r="B1" s="1"/>
      <c r="C1" s="1"/>
      <c r="D1" s="1"/>
      <c r="E1" s="1"/>
      <c r="F1" s="1"/>
      <c r="G1" s="1"/>
      <c r="H1" s="1"/>
      <c r="I1" s="1"/>
    </row>
    <row r="2" customFormat="false" ht="54" hidden="false" customHeight="true" outlineLevel="0" collapsed="false">
      <c r="A2" s="2" t="s">
        <v>467</v>
      </c>
      <c r="B2" s="2"/>
      <c r="C2" s="2"/>
      <c r="D2" s="2"/>
      <c r="E2" s="2"/>
      <c r="F2" s="2"/>
      <c r="G2" s="2"/>
      <c r="H2" s="2"/>
      <c r="I2" s="2"/>
    </row>
    <row r="3" customFormat="false" ht="13.4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</row>
    <row r="5" customFormat="false" ht="30" hidden="false" customHeight="true" outlineLevel="0" collapsed="false">
      <c r="A5" s="4" t="s">
        <v>17</v>
      </c>
      <c r="B5" s="4" t="s">
        <v>468</v>
      </c>
      <c r="C5" s="4" t="s">
        <v>469</v>
      </c>
      <c r="D5" s="4" t="s">
        <v>470</v>
      </c>
      <c r="E5" s="4" t="s">
        <v>471</v>
      </c>
      <c r="F5" s="4" t="s">
        <v>472</v>
      </c>
      <c r="G5" s="4" t="s">
        <v>473</v>
      </c>
      <c r="H5" s="4" t="s">
        <v>474</v>
      </c>
      <c r="I5" s="4" t="s">
        <v>475</v>
      </c>
    </row>
    <row r="6" customFormat="false" ht="21.75" hidden="false" customHeight="true" outlineLevel="0" collapsed="false">
      <c r="A6" s="14" t="s">
        <v>27</v>
      </c>
      <c r="B6" s="16" t="s">
        <v>476</v>
      </c>
      <c r="C6" s="16" t="s">
        <v>477</v>
      </c>
      <c r="D6" s="15" t="s">
        <v>478</v>
      </c>
      <c r="E6" s="16" t="s">
        <v>479</v>
      </c>
      <c r="F6" s="16" t="n">
        <v>11</v>
      </c>
      <c r="G6" s="15" t="s">
        <v>480</v>
      </c>
      <c r="H6" s="15" t="s">
        <v>481</v>
      </c>
      <c r="I6" s="16" t="s">
        <v>482</v>
      </c>
    </row>
    <row r="7" customFormat="false" ht="21.75" hidden="false" customHeight="true" outlineLevel="0" collapsed="false">
      <c r="A7" s="18" t="str">
        <f aca="false">IF(D7="","",COUNTA(D$7:D7))</f>
        <v/>
      </c>
      <c r="B7" s="20" t="s">
        <v>483</v>
      </c>
      <c r="C7" s="20" t="s">
        <v>484</v>
      </c>
      <c r="D7" s="23"/>
      <c r="E7" s="19"/>
      <c r="F7" s="19"/>
      <c r="G7" s="19"/>
      <c r="H7" s="19"/>
      <c r="I7" s="19"/>
    </row>
    <row r="8" customFormat="false" ht="21.75" hidden="false" customHeight="true" outlineLevel="0" collapsed="false">
      <c r="A8" s="18" t="str">
        <f aca="false">IF(D8="","",COUNTA(D$7:D8))</f>
        <v/>
      </c>
      <c r="B8" s="20" t="s">
        <v>483</v>
      </c>
      <c r="C8" s="20" t="s">
        <v>484</v>
      </c>
      <c r="D8" s="23"/>
      <c r="E8" s="19"/>
      <c r="F8" s="19"/>
      <c r="G8" s="19"/>
      <c r="H8" s="19"/>
      <c r="I8" s="19"/>
    </row>
    <row r="9" customFormat="false" ht="21.75" hidden="false" customHeight="true" outlineLevel="0" collapsed="false">
      <c r="A9" s="18" t="str">
        <f aca="false">IF(D9="","",COUNTA(D$7:D9))</f>
        <v/>
      </c>
      <c r="B9" s="20" t="s">
        <v>483</v>
      </c>
      <c r="C9" s="20" t="s">
        <v>484</v>
      </c>
      <c r="D9" s="23"/>
      <c r="E9" s="19"/>
      <c r="F9" s="19"/>
      <c r="G9" s="19"/>
      <c r="H9" s="19"/>
      <c r="I9" s="19"/>
    </row>
    <row r="10" customFormat="false" ht="21.75" hidden="false" customHeight="true" outlineLevel="0" collapsed="false">
      <c r="A10" s="18" t="str">
        <f aca="false">IF(D10="","",COUNTA(D$7:D10))</f>
        <v/>
      </c>
      <c r="B10" s="20" t="s">
        <v>476</v>
      </c>
      <c r="C10" s="20" t="s">
        <v>477</v>
      </c>
      <c r="D10" s="23"/>
      <c r="E10" s="19"/>
      <c r="F10" s="19"/>
      <c r="G10" s="19"/>
      <c r="H10" s="19"/>
      <c r="I10" s="19"/>
    </row>
    <row r="11" customFormat="false" ht="21.75" hidden="false" customHeight="true" outlineLevel="0" collapsed="false">
      <c r="A11" s="18" t="str">
        <f aca="false">IF(D11="","",COUNTA(D$7:D11))</f>
        <v/>
      </c>
      <c r="B11" s="20" t="s">
        <v>476</v>
      </c>
      <c r="C11" s="20" t="s">
        <v>485</v>
      </c>
      <c r="D11" s="23"/>
      <c r="E11" s="19"/>
      <c r="F11" s="19"/>
      <c r="G11" s="19"/>
      <c r="H11" s="19"/>
      <c r="I11" s="19"/>
    </row>
    <row r="12" customFormat="false" ht="21.75" hidden="false" customHeight="true" outlineLevel="0" collapsed="false">
      <c r="A12" s="18" t="str">
        <f aca="false">IF(D12="","",COUNTA(D$7:D12))</f>
        <v/>
      </c>
      <c r="B12" s="20" t="s">
        <v>476</v>
      </c>
      <c r="C12" s="20" t="s">
        <v>486</v>
      </c>
      <c r="D12" s="23"/>
      <c r="E12" s="19"/>
      <c r="F12" s="19"/>
      <c r="G12" s="19"/>
      <c r="H12" s="19"/>
      <c r="I12" s="19"/>
    </row>
    <row r="13" customFormat="false" ht="21.75" hidden="false" customHeight="true" outlineLevel="0" collapsed="false">
      <c r="A13" s="18" t="str">
        <f aca="false">IF(D13="","",COUNTA(D$7:D13))</f>
        <v/>
      </c>
      <c r="B13" s="20" t="s">
        <v>487</v>
      </c>
      <c r="C13" s="20" t="s">
        <v>30</v>
      </c>
      <c r="D13" s="23"/>
      <c r="E13" s="19"/>
      <c r="F13" s="19"/>
      <c r="G13" s="19"/>
      <c r="H13" s="19"/>
      <c r="I13" s="19"/>
    </row>
    <row r="14" customFormat="false" ht="21.75" hidden="false" customHeight="true" outlineLevel="0" collapsed="false">
      <c r="A14" s="18" t="str">
        <f aca="false">IF(D14="","",COUNTA(D$7:D14))</f>
        <v/>
      </c>
      <c r="B14" s="20" t="s">
        <v>487</v>
      </c>
      <c r="C14" s="20" t="s">
        <v>37</v>
      </c>
      <c r="D14" s="23"/>
      <c r="E14" s="19"/>
      <c r="F14" s="19"/>
      <c r="G14" s="19"/>
      <c r="H14" s="19"/>
      <c r="I14" s="19"/>
    </row>
    <row r="15" customFormat="false" ht="21.75" hidden="false" customHeight="true" outlineLevel="0" collapsed="false">
      <c r="A15" s="18" t="str">
        <f aca="false">IF(D15="","",COUNTA(D$7:D15))</f>
        <v/>
      </c>
      <c r="B15" s="20" t="s">
        <v>487</v>
      </c>
      <c r="C15" s="20" t="s">
        <v>41</v>
      </c>
      <c r="D15" s="23"/>
      <c r="E15" s="19"/>
      <c r="F15" s="19"/>
      <c r="G15" s="19"/>
      <c r="H15" s="19"/>
      <c r="I15" s="19"/>
    </row>
    <row r="16" customFormat="false" ht="21.75" hidden="false" customHeight="true" outlineLevel="0" collapsed="false">
      <c r="A16" s="18" t="str">
        <f aca="false">IF(D16="","",COUNTA(D$7:D16))</f>
        <v/>
      </c>
      <c r="B16" s="20" t="s">
        <v>487</v>
      </c>
      <c r="C16" s="20" t="s">
        <v>44</v>
      </c>
      <c r="D16" s="23"/>
      <c r="E16" s="19"/>
      <c r="F16" s="19"/>
      <c r="G16" s="19"/>
      <c r="H16" s="19"/>
      <c r="I16" s="19"/>
    </row>
    <row r="17" customFormat="false" ht="21.75" hidden="false" customHeight="true" outlineLevel="0" collapsed="false">
      <c r="A17" s="18" t="str">
        <f aca="false">IF(D17="","",COUNTA(D$7:D17))</f>
        <v/>
      </c>
      <c r="B17" s="20" t="s">
        <v>487</v>
      </c>
      <c r="C17" s="20" t="s">
        <v>47</v>
      </c>
      <c r="D17" s="23"/>
      <c r="E17" s="19"/>
      <c r="F17" s="19"/>
      <c r="G17" s="19"/>
      <c r="H17" s="19"/>
      <c r="I17" s="19"/>
    </row>
    <row r="18" customFormat="false" ht="21.75" hidden="false" customHeight="true" outlineLevel="0" collapsed="false">
      <c r="A18" s="18" t="str">
        <f aca="false">IF(D18="","",COUNTA(D$7:D18))</f>
        <v/>
      </c>
      <c r="B18" s="20" t="s">
        <v>487</v>
      </c>
      <c r="C18" s="20" t="s">
        <v>50</v>
      </c>
      <c r="D18" s="23"/>
      <c r="E18" s="19"/>
      <c r="F18" s="19"/>
      <c r="G18" s="19"/>
      <c r="H18" s="19"/>
      <c r="I18" s="19"/>
    </row>
    <row r="19" customFormat="false" ht="21.75" hidden="false" customHeight="true" outlineLevel="0" collapsed="false">
      <c r="A19" s="18" t="str">
        <f aca="false">IF(D19="","",COUNTA(D$7:D19))</f>
        <v/>
      </c>
      <c r="B19" s="20" t="s">
        <v>487</v>
      </c>
      <c r="C19" s="20" t="s">
        <v>53</v>
      </c>
      <c r="D19" s="23"/>
      <c r="E19" s="19"/>
      <c r="F19" s="19"/>
      <c r="G19" s="19"/>
      <c r="H19" s="19"/>
      <c r="I19" s="19"/>
    </row>
    <row r="20" customFormat="false" ht="21.75" hidden="false" customHeight="true" outlineLevel="0" collapsed="false">
      <c r="A20" s="18" t="str">
        <f aca="false">IF(D20="","",COUNTA(D$7:D20))</f>
        <v/>
      </c>
      <c r="B20" s="20" t="s">
        <v>487</v>
      </c>
      <c r="C20" s="20" t="s">
        <v>56</v>
      </c>
      <c r="D20" s="23"/>
      <c r="E20" s="19"/>
      <c r="F20" s="19"/>
      <c r="G20" s="19"/>
      <c r="H20" s="19"/>
      <c r="I20" s="19"/>
    </row>
    <row r="21" customFormat="false" ht="21.75" hidden="false" customHeight="true" outlineLevel="0" collapsed="false">
      <c r="A21" s="18" t="str">
        <f aca="false">IF(D21="","",COUNTA(D$7:D21))</f>
        <v/>
      </c>
      <c r="B21" s="20" t="s">
        <v>487</v>
      </c>
      <c r="C21" s="20" t="s">
        <v>61</v>
      </c>
      <c r="D21" s="23"/>
      <c r="E21" s="19"/>
      <c r="F21" s="19"/>
      <c r="G21" s="19"/>
      <c r="H21" s="19"/>
      <c r="I21" s="19"/>
    </row>
    <row r="22" customFormat="false" ht="21.75" hidden="false" customHeight="true" outlineLevel="0" collapsed="false">
      <c r="A22" s="18" t="str">
        <f aca="false">IF(D22="","",COUNTA(D$7:D22))</f>
        <v/>
      </c>
      <c r="B22" s="20"/>
      <c r="C22" s="19"/>
      <c r="D22" s="23"/>
      <c r="E22" s="19"/>
      <c r="F22" s="19"/>
      <c r="G22" s="19"/>
      <c r="H22" s="19"/>
      <c r="I22" s="19"/>
    </row>
    <row r="23" customFormat="false" ht="21.75" hidden="false" customHeight="true" outlineLevel="0" collapsed="false">
      <c r="A23" s="18" t="str">
        <f aca="false">IF(D23="","",COUNTA(D$7:D23))</f>
        <v/>
      </c>
      <c r="B23" s="20"/>
      <c r="C23" s="19"/>
      <c r="D23" s="23"/>
      <c r="E23" s="19"/>
      <c r="F23" s="19"/>
      <c r="G23" s="19"/>
      <c r="H23" s="19"/>
      <c r="I23" s="19"/>
    </row>
    <row r="24" customFormat="false" ht="21.75" hidden="false" customHeight="true" outlineLevel="0" collapsed="false">
      <c r="A24" s="18" t="str">
        <f aca="false">IF(D24="","",COUNTA(D$7:D24))</f>
        <v/>
      </c>
      <c r="B24" s="20"/>
      <c r="C24" s="19"/>
      <c r="D24" s="23"/>
      <c r="E24" s="19"/>
      <c r="F24" s="19"/>
      <c r="G24" s="19"/>
      <c r="H24" s="19"/>
      <c r="I24" s="19"/>
    </row>
    <row r="25" customFormat="false" ht="21.75" hidden="false" customHeight="true" outlineLevel="0" collapsed="false">
      <c r="A25" s="18" t="str">
        <f aca="false">IF(D25="","",COUNTA(D$7:D25))</f>
        <v/>
      </c>
      <c r="B25" s="20"/>
      <c r="C25" s="19"/>
      <c r="D25" s="23"/>
      <c r="E25" s="19"/>
      <c r="F25" s="19"/>
      <c r="G25" s="19"/>
      <c r="H25" s="19"/>
      <c r="I25" s="19"/>
    </row>
    <row r="26" customFormat="false" ht="21.75" hidden="false" customHeight="true" outlineLevel="0" collapsed="false">
      <c r="A26" s="18" t="str">
        <f aca="false">IF(D26="","",COUNTA(D$7:D26))</f>
        <v/>
      </c>
      <c r="B26" s="20"/>
      <c r="C26" s="19"/>
      <c r="D26" s="23"/>
      <c r="E26" s="19"/>
      <c r="F26" s="19"/>
      <c r="G26" s="19"/>
      <c r="H26" s="19"/>
      <c r="I26" s="19"/>
    </row>
    <row r="27" customFormat="false" ht="21.75" hidden="false" customHeight="true" outlineLevel="0" collapsed="false">
      <c r="A27" s="18" t="str">
        <f aca="false">IF(D27="","",COUNTA(D$7:D27))</f>
        <v/>
      </c>
      <c r="B27" s="20"/>
      <c r="C27" s="19"/>
      <c r="D27" s="23"/>
      <c r="E27" s="19"/>
      <c r="F27" s="19"/>
      <c r="G27" s="19"/>
      <c r="H27" s="19"/>
      <c r="I27" s="19"/>
    </row>
    <row r="28" customFormat="false" ht="21.75" hidden="false" customHeight="true" outlineLevel="0" collapsed="false">
      <c r="A28" s="18" t="str">
        <f aca="false">IF(D28="","",COUNTA(D$7:D28))</f>
        <v/>
      </c>
      <c r="B28" s="20"/>
      <c r="C28" s="19"/>
      <c r="D28" s="23"/>
      <c r="E28" s="19"/>
      <c r="F28" s="19"/>
      <c r="G28" s="19"/>
      <c r="H28" s="19"/>
      <c r="I28" s="19"/>
    </row>
    <row r="29" customFormat="false" ht="21.75" hidden="false" customHeight="true" outlineLevel="0" collapsed="false">
      <c r="A29" s="18" t="str">
        <f aca="false">IF(D29="","",COUNTA(D$7:D29))</f>
        <v/>
      </c>
      <c r="B29" s="20"/>
      <c r="C29" s="19"/>
      <c r="D29" s="23"/>
      <c r="E29" s="19"/>
      <c r="F29" s="19"/>
      <c r="G29" s="19"/>
      <c r="H29" s="19"/>
      <c r="I29" s="19"/>
    </row>
    <row r="30" customFormat="false" ht="21.75" hidden="false" customHeight="true" outlineLevel="0" collapsed="false">
      <c r="A30" s="18" t="str">
        <f aca="false">IF(D30="","",COUNTA(D$7:D30))</f>
        <v/>
      </c>
      <c r="B30" s="20"/>
      <c r="C30" s="19"/>
      <c r="D30" s="23"/>
      <c r="E30" s="19"/>
      <c r="F30" s="19"/>
      <c r="G30" s="19"/>
      <c r="H30" s="19"/>
      <c r="I30" s="19"/>
    </row>
    <row r="31" customFormat="false" ht="21.75" hidden="false" customHeight="true" outlineLevel="0" collapsed="false">
      <c r="A31" s="18" t="str">
        <f aca="false">IF(D31="","",COUNTA(D$7:D31))</f>
        <v/>
      </c>
      <c r="B31" s="20"/>
      <c r="C31" s="19"/>
      <c r="D31" s="23"/>
      <c r="E31" s="19"/>
      <c r="F31" s="19"/>
      <c r="G31" s="19"/>
      <c r="H31" s="19"/>
      <c r="I31" s="19"/>
    </row>
    <row r="32" customFormat="false" ht="21.75" hidden="false" customHeight="true" outlineLevel="0" collapsed="false">
      <c r="A32" s="18" t="str">
        <f aca="false">IF(D32="","",COUNTA(D$7:D32))</f>
        <v/>
      </c>
      <c r="B32" s="20"/>
      <c r="C32" s="19"/>
      <c r="D32" s="23"/>
      <c r="E32" s="19"/>
      <c r="F32" s="19"/>
      <c r="G32" s="19"/>
      <c r="H32" s="19"/>
      <c r="I32" s="19"/>
    </row>
    <row r="33" customFormat="false" ht="21.75" hidden="false" customHeight="true" outlineLevel="0" collapsed="false">
      <c r="A33" s="18" t="str">
        <f aca="false">IF(D33="","",COUNTA(D$7:D33))</f>
        <v/>
      </c>
      <c r="B33" s="20"/>
      <c r="C33" s="19"/>
      <c r="D33" s="23"/>
      <c r="E33" s="19"/>
      <c r="F33" s="19"/>
      <c r="G33" s="19"/>
      <c r="H33" s="19"/>
      <c r="I33" s="19"/>
    </row>
    <row r="34" customFormat="false" ht="21.75" hidden="false" customHeight="true" outlineLevel="0" collapsed="false">
      <c r="A34" s="18" t="str">
        <f aca="false">IF(D34="","",COUNTA(D$7:D34))</f>
        <v/>
      </c>
      <c r="B34" s="20"/>
      <c r="C34" s="19"/>
      <c r="D34" s="23"/>
      <c r="E34" s="19"/>
      <c r="F34" s="19"/>
      <c r="G34" s="19"/>
      <c r="H34" s="19"/>
      <c r="I34" s="19"/>
    </row>
    <row r="35" customFormat="false" ht="21.75" hidden="false" customHeight="true" outlineLevel="0" collapsed="false">
      <c r="A35" s="18" t="str">
        <f aca="false">IF(D35="","",COUNTA(D$7:D35))</f>
        <v/>
      </c>
      <c r="B35" s="20"/>
      <c r="C35" s="19"/>
      <c r="D35" s="23"/>
      <c r="E35" s="19"/>
      <c r="F35" s="19"/>
      <c r="G35" s="19"/>
      <c r="H35" s="19"/>
      <c r="I35" s="19"/>
    </row>
    <row r="36" customFormat="false" ht="21.75" hidden="false" customHeight="true" outlineLevel="0" collapsed="false">
      <c r="A36" s="18" t="str">
        <f aca="false">IF(D36="","",COUNTA(D$7:D36))</f>
        <v/>
      </c>
      <c r="B36" s="20"/>
      <c r="C36" s="19"/>
      <c r="D36" s="23"/>
      <c r="E36" s="19"/>
      <c r="F36" s="19"/>
      <c r="G36" s="19"/>
      <c r="H36" s="19"/>
      <c r="I36" s="19"/>
    </row>
    <row r="37" customFormat="false" ht="21.75" hidden="false" customHeight="true" outlineLevel="0" collapsed="false">
      <c r="A37" s="18" t="str">
        <f aca="false">IF(D37="","",COUNTA(D$7:D37))</f>
        <v/>
      </c>
      <c r="B37" s="20"/>
      <c r="C37" s="19"/>
      <c r="D37" s="23"/>
      <c r="E37" s="19"/>
      <c r="F37" s="19"/>
      <c r="G37" s="19"/>
      <c r="H37" s="19"/>
      <c r="I37" s="19"/>
    </row>
    <row r="39" customFormat="false" ht="15" hidden="false" customHeight="false" outlineLevel="0" collapsed="false">
      <c r="B39" s="12" t="s">
        <v>488</v>
      </c>
    </row>
    <row r="40" customFormat="false" ht="15" hidden="false" customHeight="false" outlineLevel="0" collapsed="false">
      <c r="B40" s="24" t="s">
        <v>483</v>
      </c>
      <c r="C40" s="25" t="n">
        <f aca="false">COUNTIFS(B7:B37,"참여예산주민위원회",D7:D37,"&lt;&gt;")</f>
        <v>0</v>
      </c>
    </row>
    <row r="41" customFormat="false" ht="15" hidden="false" customHeight="false" outlineLevel="0" collapsed="false">
      <c r="B41" s="24" t="s">
        <v>476</v>
      </c>
      <c r="C41" s="25" t="n">
        <f aca="false">COUNTIFS(B7:B37,"분과위원회",D7:D37,"&lt;&gt;")</f>
        <v>0</v>
      </c>
    </row>
    <row r="42" customFormat="false" ht="15" hidden="false" customHeight="false" outlineLevel="0" collapsed="false">
      <c r="B42" s="24" t="s">
        <v>487</v>
      </c>
      <c r="C42" s="25" t="n">
        <f aca="false">COUNTIFS(B7:B37,"지역회의",D7:D37,"&lt;&gt;")</f>
        <v>0</v>
      </c>
    </row>
    <row r="43" customFormat="false" ht="15" hidden="false" customHeight="false" outlineLevel="0" collapsed="false">
      <c r="B43" s="24" t="s">
        <v>489</v>
      </c>
      <c r="C43" s="25" t="n">
        <f aca="false">COUNTA(D7:D37)-SUM(C40:C42)</f>
        <v>0</v>
      </c>
    </row>
    <row r="44" customFormat="false" ht="15" hidden="false" customHeight="false" outlineLevel="0" collapsed="false">
      <c r="B44" s="24" t="s">
        <v>490</v>
      </c>
      <c r="C44" s="26" t="n">
        <f aca="false">SUM(C40:C43)</f>
        <v>0</v>
      </c>
    </row>
    <row r="45" customFormat="false" ht="15" hidden="false" customHeight="false" outlineLevel="0" collapsed="false">
      <c r="B45" s="24" t="s">
        <v>491</v>
      </c>
      <c r="C45" s="26" t="n">
        <f aca="false">IF(C44&gt;20,3,IF(C44&gt;=11,2,IF(C44&gt;=5,1,0)))</f>
        <v>0</v>
      </c>
    </row>
  </sheetData>
  <mergeCells count="3">
    <mergeCell ref="A1:I1"/>
    <mergeCell ref="A2:I2"/>
    <mergeCell ref="A3:I3"/>
  </mergeCells>
  <dataValidations count="1">
    <dataValidation allowBlank="true" errorStyle="stop" operator="between" showDropDown="false" showErrorMessage="false" showInputMessage="false" sqref="B7:B37" type="list">
      <formula1>"참여예산주민위원회,분과위원회,지역회의,운영위원회,연구회,기타 지원조직"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22"/>
    <col collapsed="false" customWidth="true" hidden="false" outlineLevel="0" max="11" min="11" style="0" width="12"/>
  </cols>
  <sheetData>
    <row r="1" customFormat="false" ht="19.4" hidden="false" customHeight="false" outlineLevel="0" collapsed="false">
      <c r="A1" s="1" t="s">
        <v>492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54" hidden="false" customHeight="true" outlineLevel="0" collapsed="false">
      <c r="A2" s="27" t="s">
        <v>493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customFormat="false" ht="13.4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5" customFormat="false" ht="30" hidden="false" customHeight="true" outlineLevel="0" collapsed="false">
      <c r="A5" s="4" t="s">
        <v>17</v>
      </c>
      <c r="B5" s="4" t="s">
        <v>494</v>
      </c>
      <c r="C5" s="4" t="s">
        <v>495</v>
      </c>
      <c r="D5" s="4" t="s">
        <v>496</v>
      </c>
      <c r="E5" s="4" t="s">
        <v>497</v>
      </c>
      <c r="F5" s="4" t="s">
        <v>498</v>
      </c>
      <c r="G5" s="4" t="s">
        <v>499</v>
      </c>
      <c r="H5" s="4" t="s">
        <v>472</v>
      </c>
      <c r="I5" s="4" t="s">
        <v>500</v>
      </c>
      <c r="J5" s="4" t="s">
        <v>474</v>
      </c>
      <c r="K5" s="4" t="s">
        <v>5</v>
      </c>
    </row>
    <row r="6" customFormat="false" ht="21.75" hidden="false" customHeight="true" outlineLevel="0" collapsed="false">
      <c r="A6" s="14" t="s">
        <v>27</v>
      </c>
      <c r="B6" s="16" t="s">
        <v>483</v>
      </c>
      <c r="C6" s="15" t="s">
        <v>501</v>
      </c>
      <c r="D6" s="15" t="s">
        <v>502</v>
      </c>
      <c r="E6" s="16" t="n">
        <v>2</v>
      </c>
      <c r="F6" s="16" t="s">
        <v>503</v>
      </c>
      <c r="G6" s="16" t="s">
        <v>504</v>
      </c>
      <c r="H6" s="16" t="n">
        <v>30</v>
      </c>
      <c r="I6" s="15" t="s">
        <v>505</v>
      </c>
      <c r="J6" s="15" t="s">
        <v>506</v>
      </c>
      <c r="K6" s="16"/>
    </row>
    <row r="7" customFormat="false" ht="21.75" hidden="false" customHeight="true" outlineLevel="0" collapsed="false">
      <c r="A7" s="18" t="str">
        <f aca="false">IF(C7="","",COUNTA(C$7:C7))</f>
        <v/>
      </c>
      <c r="B7" s="19"/>
      <c r="C7" s="19"/>
      <c r="D7" s="23"/>
      <c r="E7" s="28"/>
      <c r="F7" s="19"/>
      <c r="G7" s="19"/>
      <c r="H7" s="19"/>
      <c r="I7" s="19"/>
      <c r="J7" s="19"/>
      <c r="K7" s="19"/>
    </row>
    <row r="8" customFormat="false" ht="21.75" hidden="false" customHeight="true" outlineLevel="0" collapsed="false">
      <c r="A8" s="18" t="str">
        <f aca="false">IF(C8="","",COUNTA(C$7:C8))</f>
        <v/>
      </c>
      <c r="B8" s="19"/>
      <c r="C8" s="19"/>
      <c r="D8" s="23"/>
      <c r="E8" s="28"/>
      <c r="F8" s="19"/>
      <c r="G8" s="19"/>
      <c r="H8" s="19"/>
      <c r="I8" s="19"/>
      <c r="J8" s="19"/>
      <c r="K8" s="19"/>
    </row>
    <row r="9" customFormat="false" ht="21.75" hidden="false" customHeight="true" outlineLevel="0" collapsed="false">
      <c r="A9" s="18" t="str">
        <f aca="false">IF(C9="","",COUNTA(C$7:C9))</f>
        <v/>
      </c>
      <c r="B9" s="19"/>
      <c r="C9" s="19"/>
      <c r="D9" s="23"/>
      <c r="E9" s="28"/>
      <c r="F9" s="19"/>
      <c r="G9" s="19"/>
      <c r="H9" s="19"/>
      <c r="I9" s="19"/>
      <c r="J9" s="19"/>
      <c r="K9" s="19"/>
    </row>
    <row r="10" customFormat="false" ht="21.75" hidden="false" customHeight="true" outlineLevel="0" collapsed="false">
      <c r="A10" s="18" t="str">
        <f aca="false">IF(C10="","",COUNTA(C$7:C10))</f>
        <v/>
      </c>
      <c r="B10" s="19"/>
      <c r="C10" s="19"/>
      <c r="D10" s="23"/>
      <c r="E10" s="28"/>
      <c r="F10" s="19"/>
      <c r="G10" s="19"/>
      <c r="H10" s="19"/>
      <c r="I10" s="19"/>
      <c r="J10" s="19"/>
      <c r="K10" s="19"/>
    </row>
    <row r="11" customFormat="false" ht="21.75" hidden="false" customHeight="true" outlineLevel="0" collapsed="false">
      <c r="A11" s="18" t="str">
        <f aca="false">IF(C11="","",COUNTA(C$7:C11))</f>
        <v/>
      </c>
      <c r="B11" s="19"/>
      <c r="C11" s="19"/>
      <c r="D11" s="23"/>
      <c r="E11" s="28"/>
      <c r="F11" s="19"/>
      <c r="G11" s="19"/>
      <c r="H11" s="19"/>
      <c r="I11" s="19"/>
      <c r="J11" s="19"/>
      <c r="K11" s="19"/>
    </row>
    <row r="12" customFormat="false" ht="21.75" hidden="false" customHeight="true" outlineLevel="0" collapsed="false">
      <c r="A12" s="18" t="str">
        <f aca="false">IF(C12="","",COUNTA(C$7:C12))</f>
        <v/>
      </c>
      <c r="B12" s="19"/>
      <c r="C12" s="19"/>
      <c r="D12" s="23"/>
      <c r="E12" s="28"/>
      <c r="F12" s="19"/>
      <c r="G12" s="19"/>
      <c r="H12" s="19"/>
      <c r="I12" s="19"/>
      <c r="J12" s="19"/>
      <c r="K12" s="19"/>
    </row>
    <row r="13" customFormat="false" ht="21.75" hidden="false" customHeight="true" outlineLevel="0" collapsed="false">
      <c r="A13" s="18" t="str">
        <f aca="false">IF(C13="","",COUNTA(C$7:C13))</f>
        <v/>
      </c>
      <c r="B13" s="19"/>
      <c r="C13" s="19"/>
      <c r="D13" s="23"/>
      <c r="E13" s="28"/>
      <c r="F13" s="19"/>
      <c r="G13" s="19"/>
      <c r="H13" s="19"/>
      <c r="I13" s="19"/>
      <c r="J13" s="19"/>
      <c r="K13" s="19"/>
    </row>
    <row r="14" customFormat="false" ht="21.75" hidden="false" customHeight="true" outlineLevel="0" collapsed="false">
      <c r="A14" s="18" t="str">
        <f aca="false">IF(C14="","",COUNTA(C$7:C14))</f>
        <v/>
      </c>
      <c r="B14" s="19"/>
      <c r="C14" s="19"/>
      <c r="D14" s="23"/>
      <c r="E14" s="28"/>
      <c r="F14" s="19"/>
      <c r="G14" s="19"/>
      <c r="H14" s="19"/>
      <c r="I14" s="19"/>
      <c r="J14" s="19"/>
      <c r="K14" s="19"/>
    </row>
    <row r="15" customFormat="false" ht="21.75" hidden="false" customHeight="true" outlineLevel="0" collapsed="false">
      <c r="A15" s="18" t="str">
        <f aca="false">IF(C15="","",COUNTA(C$7:C15))</f>
        <v/>
      </c>
      <c r="B15" s="19"/>
      <c r="C15" s="19"/>
      <c r="D15" s="23"/>
      <c r="E15" s="28"/>
      <c r="F15" s="19"/>
      <c r="G15" s="19"/>
      <c r="H15" s="19"/>
      <c r="I15" s="19"/>
      <c r="J15" s="19"/>
      <c r="K15" s="19"/>
    </row>
    <row r="16" customFormat="false" ht="21.75" hidden="false" customHeight="true" outlineLevel="0" collapsed="false">
      <c r="A16" s="18" t="str">
        <f aca="false">IF(C16="","",COUNTA(C$7:C16))</f>
        <v/>
      </c>
      <c r="B16" s="19"/>
      <c r="C16" s="19"/>
      <c r="D16" s="23"/>
      <c r="E16" s="28"/>
      <c r="F16" s="19"/>
      <c r="G16" s="19"/>
      <c r="H16" s="19"/>
      <c r="I16" s="19"/>
      <c r="J16" s="19"/>
      <c r="K16" s="19"/>
    </row>
    <row r="17" customFormat="false" ht="21.75" hidden="false" customHeight="true" outlineLevel="0" collapsed="false">
      <c r="A17" s="18" t="str">
        <f aca="false">IF(C17="","",COUNTA(C$7:C17))</f>
        <v/>
      </c>
      <c r="B17" s="19"/>
      <c r="C17" s="19"/>
      <c r="D17" s="23"/>
      <c r="E17" s="28"/>
      <c r="F17" s="19"/>
      <c r="G17" s="19"/>
      <c r="H17" s="19"/>
      <c r="I17" s="19"/>
      <c r="J17" s="19"/>
      <c r="K17" s="19"/>
    </row>
    <row r="18" customFormat="false" ht="21.75" hidden="false" customHeight="true" outlineLevel="0" collapsed="false">
      <c r="A18" s="18" t="str">
        <f aca="false">IF(C18="","",COUNTA(C$7:C18))</f>
        <v/>
      </c>
      <c r="B18" s="19"/>
      <c r="C18" s="19"/>
      <c r="D18" s="23"/>
      <c r="E18" s="28"/>
      <c r="F18" s="19"/>
      <c r="G18" s="19"/>
      <c r="H18" s="19"/>
      <c r="I18" s="19"/>
      <c r="J18" s="19"/>
      <c r="K18" s="19"/>
    </row>
    <row r="19" customFormat="false" ht="21.75" hidden="false" customHeight="true" outlineLevel="0" collapsed="false">
      <c r="A19" s="18" t="str">
        <f aca="false">IF(C19="","",COUNTA(C$7:C19))</f>
        <v/>
      </c>
      <c r="B19" s="19"/>
      <c r="C19" s="19"/>
      <c r="D19" s="23"/>
      <c r="E19" s="28"/>
      <c r="F19" s="19"/>
      <c r="G19" s="19"/>
      <c r="H19" s="19"/>
      <c r="I19" s="19"/>
      <c r="J19" s="19"/>
      <c r="K19" s="19"/>
    </row>
    <row r="20" customFormat="false" ht="21.75" hidden="false" customHeight="true" outlineLevel="0" collapsed="false">
      <c r="A20" s="18" t="str">
        <f aca="false">IF(C20="","",COUNTA(C$7:C20))</f>
        <v/>
      </c>
      <c r="B20" s="19"/>
      <c r="C20" s="19"/>
      <c r="D20" s="23"/>
      <c r="E20" s="28"/>
      <c r="F20" s="19"/>
      <c r="G20" s="19"/>
      <c r="H20" s="19"/>
      <c r="I20" s="19"/>
      <c r="J20" s="19"/>
      <c r="K20" s="19"/>
    </row>
    <row r="21" customFormat="false" ht="21.75" hidden="false" customHeight="true" outlineLevel="0" collapsed="false">
      <c r="A21" s="18" t="str">
        <f aca="false">IF(C21="","",COUNTA(C$7:C21))</f>
        <v/>
      </c>
      <c r="B21" s="19"/>
      <c r="C21" s="19"/>
      <c r="D21" s="23"/>
      <c r="E21" s="28"/>
      <c r="F21" s="19"/>
      <c r="G21" s="19"/>
      <c r="H21" s="19"/>
      <c r="I21" s="19"/>
      <c r="J21" s="19"/>
      <c r="K21" s="19"/>
    </row>
    <row r="22" customFormat="false" ht="21.75" hidden="false" customHeight="true" outlineLevel="0" collapsed="false">
      <c r="A22" s="18" t="str">
        <f aca="false">IF(C22="","",COUNTA(C$7:C22))</f>
        <v/>
      </c>
      <c r="B22" s="19"/>
      <c r="C22" s="19"/>
      <c r="D22" s="23"/>
      <c r="E22" s="28"/>
      <c r="F22" s="19"/>
      <c r="G22" s="19"/>
      <c r="H22" s="19"/>
      <c r="I22" s="19"/>
      <c r="J22" s="19"/>
      <c r="K22" s="19"/>
    </row>
    <row r="23" customFormat="false" ht="21.75" hidden="false" customHeight="true" outlineLevel="0" collapsed="false">
      <c r="A23" s="18" t="str">
        <f aca="false">IF(C23="","",COUNTA(C$7:C23))</f>
        <v/>
      </c>
      <c r="B23" s="19"/>
      <c r="C23" s="19"/>
      <c r="D23" s="23"/>
      <c r="E23" s="28"/>
      <c r="F23" s="19"/>
      <c r="G23" s="19"/>
      <c r="H23" s="19"/>
      <c r="I23" s="19"/>
      <c r="J23" s="19"/>
      <c r="K23" s="19"/>
    </row>
    <row r="24" customFormat="false" ht="21.75" hidden="false" customHeight="true" outlineLevel="0" collapsed="false">
      <c r="A24" s="18" t="str">
        <f aca="false">IF(C24="","",COUNTA(C$7:C24))</f>
        <v/>
      </c>
      <c r="B24" s="19"/>
      <c r="C24" s="19"/>
      <c r="D24" s="23"/>
      <c r="E24" s="28"/>
      <c r="F24" s="19"/>
      <c r="G24" s="19"/>
      <c r="H24" s="19"/>
      <c r="I24" s="19"/>
      <c r="J24" s="19"/>
      <c r="K24" s="19"/>
    </row>
    <row r="25" customFormat="false" ht="21.75" hidden="false" customHeight="true" outlineLevel="0" collapsed="false">
      <c r="A25" s="18" t="str">
        <f aca="false">IF(C25="","",COUNTA(C$7:C25))</f>
        <v/>
      </c>
      <c r="B25" s="19"/>
      <c r="C25" s="19"/>
      <c r="D25" s="23"/>
      <c r="E25" s="28"/>
      <c r="F25" s="19"/>
      <c r="G25" s="19"/>
      <c r="H25" s="19"/>
      <c r="I25" s="19"/>
      <c r="J25" s="19"/>
      <c r="K25" s="19"/>
    </row>
    <row r="26" customFormat="false" ht="21.75" hidden="false" customHeight="true" outlineLevel="0" collapsed="false">
      <c r="A26" s="18" t="str">
        <f aca="false">IF(C26="","",COUNTA(C$7:C26))</f>
        <v/>
      </c>
      <c r="B26" s="19"/>
      <c r="C26" s="19"/>
      <c r="D26" s="23"/>
      <c r="E26" s="28"/>
      <c r="F26" s="19"/>
      <c r="G26" s="19"/>
      <c r="H26" s="19"/>
      <c r="I26" s="19"/>
      <c r="J26" s="19"/>
      <c r="K26" s="19"/>
    </row>
    <row r="27" customFormat="false" ht="21.75" hidden="false" customHeight="true" outlineLevel="0" collapsed="false">
      <c r="A27" s="18" t="str">
        <f aca="false">IF(C27="","",COUNTA(C$7:C27))</f>
        <v/>
      </c>
      <c r="B27" s="19"/>
      <c r="C27" s="19"/>
      <c r="D27" s="23"/>
      <c r="E27" s="28"/>
      <c r="F27" s="19"/>
      <c r="G27" s="19"/>
      <c r="H27" s="19"/>
      <c r="I27" s="19"/>
      <c r="J27" s="19"/>
      <c r="K27" s="19"/>
    </row>
    <row r="28" customFormat="false" ht="21.75" hidden="false" customHeight="true" outlineLevel="0" collapsed="false">
      <c r="A28" s="18" t="str">
        <f aca="false">IF(C28="","",COUNTA(C$7:C28))</f>
        <v/>
      </c>
      <c r="B28" s="19"/>
      <c r="C28" s="19"/>
      <c r="D28" s="23"/>
      <c r="E28" s="28"/>
      <c r="F28" s="19"/>
      <c r="G28" s="19"/>
      <c r="H28" s="19"/>
      <c r="I28" s="19"/>
      <c r="J28" s="19"/>
      <c r="K28" s="19"/>
    </row>
    <row r="29" customFormat="false" ht="21.75" hidden="false" customHeight="true" outlineLevel="0" collapsed="false">
      <c r="A29" s="18" t="str">
        <f aca="false">IF(C29="","",COUNTA(C$7:C29))</f>
        <v/>
      </c>
      <c r="B29" s="19"/>
      <c r="C29" s="19"/>
      <c r="D29" s="23"/>
      <c r="E29" s="28"/>
      <c r="F29" s="19"/>
      <c r="G29" s="19"/>
      <c r="H29" s="19"/>
      <c r="I29" s="19"/>
      <c r="J29" s="19"/>
      <c r="K29" s="19"/>
    </row>
    <row r="30" customFormat="false" ht="21.75" hidden="false" customHeight="true" outlineLevel="0" collapsed="false">
      <c r="A30" s="18" t="str">
        <f aca="false">IF(C30="","",COUNTA(C$7:C30))</f>
        <v/>
      </c>
      <c r="B30" s="19"/>
      <c r="C30" s="19"/>
      <c r="D30" s="23"/>
      <c r="E30" s="28"/>
      <c r="F30" s="19"/>
      <c r="G30" s="19"/>
      <c r="H30" s="19"/>
      <c r="I30" s="19"/>
      <c r="J30" s="19"/>
      <c r="K30" s="19"/>
    </row>
    <row r="31" customFormat="false" ht="21.75" hidden="false" customHeight="true" outlineLevel="0" collapsed="false">
      <c r="A31" s="18" t="str">
        <f aca="false">IF(C31="","",COUNTA(C$7:C31))</f>
        <v/>
      </c>
      <c r="B31" s="19"/>
      <c r="C31" s="19"/>
      <c r="D31" s="23"/>
      <c r="E31" s="28"/>
      <c r="F31" s="19"/>
      <c r="G31" s="19"/>
      <c r="H31" s="19"/>
      <c r="I31" s="19"/>
      <c r="J31" s="19"/>
      <c r="K31" s="19"/>
    </row>
    <row r="33" customFormat="false" ht="15" hidden="false" customHeight="false" outlineLevel="0" collapsed="false">
      <c r="B33" s="12" t="s">
        <v>507</v>
      </c>
    </row>
    <row r="34" customFormat="false" ht="15" hidden="false" customHeight="false" outlineLevel="0" collapsed="false">
      <c r="B34" s="24" t="s">
        <v>508</v>
      </c>
      <c r="C34" s="29" t="n">
        <f aca="false">COUNTA(C7:C31)</f>
        <v>0</v>
      </c>
    </row>
    <row r="35" customFormat="false" ht="15" hidden="false" customHeight="false" outlineLevel="0" collapsed="false">
      <c r="B35" s="30" t="s">
        <v>509</v>
      </c>
      <c r="C35" s="29" t="n">
        <f aca="false">IF(C34&gt;=5,4,IF(C34&gt;=3,3,IF(C34&gt;=1,2,0)))</f>
        <v>0</v>
      </c>
    </row>
    <row r="36" customFormat="false" ht="15" hidden="false" customHeight="false" outlineLevel="0" collapsed="false">
      <c r="B36" s="24" t="s">
        <v>510</v>
      </c>
      <c r="C36" s="29" t="n">
        <f aca="false">SUM(E7:E31)</f>
        <v>0</v>
      </c>
    </row>
    <row r="37" customFormat="false" ht="15" hidden="false" customHeight="false" outlineLevel="0" collapsed="false">
      <c r="B37" s="30" t="s">
        <v>511</v>
      </c>
      <c r="C37" s="29" t="n">
        <f aca="false">IF(C36&gt;=15,4,IF(C36&gt;=7,2,0))</f>
        <v>0</v>
      </c>
    </row>
    <row r="38" customFormat="false" ht="15" hidden="false" customHeight="false" outlineLevel="0" collapsed="false">
      <c r="B38" s="31" t="s">
        <v>512</v>
      </c>
    </row>
  </sheetData>
  <mergeCells count="3">
    <mergeCell ref="A1:K1"/>
    <mergeCell ref="A2:K2"/>
    <mergeCell ref="A3:K3"/>
  </mergeCells>
  <dataValidations count="3">
    <dataValidation allowBlank="true" errorStyle="stop" operator="between" showDropDown="false" showErrorMessage="false" showInputMessage="false" sqref="B7:B31" type="list">
      <formula1>"참여예산주민위원회,지역회의,주민자치회 등 주민기구,사회적약자,아동·청소년,청년,일반주민,기타"</formula1>
      <formula2>0</formula2>
    </dataValidation>
    <dataValidation allowBlank="true" errorStyle="stop" operator="between" showDropDown="false" showErrorMessage="false" showInputMessage="false" sqref="F7:F31" type="list">
      <formula1>"대면,온라인,혼합"</formula1>
      <formula2>0</formula2>
    </dataValidation>
    <dataValidation allowBlank="true" errorStyle="stop" operator="between" showDropDown="false" showErrorMessage="false" showInputMessage="false" sqref="G7:G31" type="list">
      <formula1>"옥천군,충청북도,위탁기관,기타"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2026-10-27T06:05:33Z</dcterms:created>
  <dc:creator>openpyxl</dc:creator>
  <dc:description/>
  <dc:language>en-US</dc:language>
  <cp:lastModifiedBy/>
  <dcterms:modified xsi:type="dcterms:W3CDTF">2026-10-27T06:05:33Z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