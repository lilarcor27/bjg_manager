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1 주민제안사업 예산" sheetId="1" state="visible" r:id="rId3"/>
    <sheet name="1-6 기구 운영" sheetId="2" state="visible" r:id="rId4"/>
    <sheet name="3-1·3-2 교육" sheetId="3" state="visible" r:id="rId5"/>
  </sheets>
  <definedNames>
    <definedName function="false" hidden="false" localSheetId="0" name="_xlnm.Print_Titles" vbProcedure="false">'1-1 주민제안사업 예산'!$13:$13</definedName>
    <definedName function="false" hidden="false" localSheetId="1" name="_xlnm.Print_Titles" vbProcedure="false">'1-6 기구 운영'!$5:$5</definedName>
    <definedName function="false" hidden="false" localSheetId="2" name="_xlnm.Print_Titles" vbProcedure="false">'3-1·3-2 교육'!$5:$5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<sst xmlns="http://schemas.openxmlformats.org/spreadsheetml/2006/main" count="122" uniqueCount="92">
  <si>
    <r>
      <rPr>
        <b val="true"/>
        <sz val="14"/>
        <color rgb="FF000000"/>
        <rFont val="맑은 고딕"/>
        <family val="0"/>
        <charset val="1"/>
      </rPr>
      <t xml:space="preserve">[</t>
    </r>
    <r>
      <rPr>
        <b val="true"/>
        <sz val="14"/>
        <color rgb="FF000000"/>
        <rFont val="WenQuanYi Zen Hei"/>
        <family val="2"/>
      </rPr>
      <t xml:space="preserve">지표 </t>
    </r>
    <r>
      <rPr>
        <b val="true"/>
        <sz val="14"/>
        <color rgb="FF000000"/>
        <rFont val="맑은 고딕"/>
        <family val="0"/>
        <charset val="1"/>
      </rPr>
      <t xml:space="preserve">1-1] </t>
    </r>
    <r>
      <rPr>
        <b val="true"/>
        <sz val="14"/>
        <color rgb="FF000000"/>
        <rFont val="WenQuanYi Zen Hei"/>
        <family val="2"/>
      </rPr>
      <t xml:space="preserve">주민제안사업 예산 비율 자료 취합</t>
    </r>
  </si>
  <si>
    <r>
      <rPr>
        <sz val="9"/>
        <color rgb="FF555555"/>
        <rFont val="WenQuanYi Zen Hei"/>
        <family val="2"/>
      </rPr>
      <t xml:space="preserve">평가</t>
    </r>
    <r>
      <rPr>
        <sz val="9"/>
        <color rgb="FF555555"/>
        <rFont val="맑은 고딕"/>
        <family val="0"/>
        <charset val="1"/>
      </rPr>
      <t xml:space="preserve">: </t>
    </r>
    <r>
      <rPr>
        <sz val="9"/>
        <color rgb="FF555555"/>
        <rFont val="WenQuanYi Zen Hei"/>
        <family val="2"/>
      </rPr>
      <t xml:space="preserve">주민세 총액</t>
    </r>
    <r>
      <rPr>
        <sz val="9"/>
        <color rgb="FF555555"/>
        <rFont val="맑은 고딕"/>
        <family val="0"/>
        <charset val="1"/>
      </rPr>
      <t xml:space="preserve">('24</t>
    </r>
    <r>
      <rPr>
        <sz val="9"/>
        <color rgb="FF555555"/>
        <rFont val="WenQuanYi Zen Hei"/>
        <family val="2"/>
      </rPr>
      <t xml:space="preserve">년 징수액</t>
    </r>
    <r>
      <rPr>
        <sz val="9"/>
        <color rgb="FF555555"/>
        <rFont val="맑은 고딕"/>
        <family val="0"/>
        <charset val="1"/>
      </rPr>
      <t xml:space="preserve">) </t>
    </r>
    <r>
      <rPr>
        <sz val="9"/>
        <color rgb="FF555555"/>
        <rFont val="WenQuanYi Zen Hei"/>
        <family val="2"/>
      </rPr>
      <t xml:space="preserve">대비 주민제안사업 예산 비율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군 유형 </t>
    </r>
    <r>
      <rPr>
        <sz val="9"/>
        <color rgb="FF555555"/>
        <rFont val="맑은 고딕"/>
        <family val="0"/>
        <charset val="1"/>
      </rPr>
      <t xml:space="preserve">5</t>
    </r>
    <r>
      <rPr>
        <sz val="9"/>
        <color rgb="FF555555"/>
        <rFont val="WenQuanYi Zen Hei"/>
        <family val="2"/>
      </rPr>
      <t xml:space="preserve">등급 상대평가</t>
    </r>
    <r>
      <rPr>
        <sz val="9"/>
        <color rgb="FF555555"/>
        <rFont val="맑은 고딕"/>
        <family val="0"/>
        <charset val="1"/>
      </rPr>
      <t xml:space="preserve">(8</t>
    </r>
    <r>
      <rPr>
        <sz val="9"/>
        <color rgb="FF555555"/>
        <rFont val="WenQuanYi Zen Hei"/>
        <family val="2"/>
      </rPr>
      <t xml:space="preserve">점</t>
    </r>
    <r>
      <rPr>
        <sz val="9"/>
        <color rgb="FF555555"/>
        <rFont val="맑은 고딕"/>
        <family val="0"/>
        <charset val="1"/>
      </rPr>
      <t xml:space="preserve">). '26 </t>
    </r>
    <r>
      <rPr>
        <sz val="9"/>
        <color rgb="FF555555"/>
        <rFont val="WenQuanYi Zen Hei"/>
        <family val="2"/>
      </rPr>
      <t xml:space="preserve">예산이 </t>
    </r>
    <r>
      <rPr>
        <sz val="9"/>
        <color rgb="FF555555"/>
        <rFont val="맑은 고딕"/>
        <family val="0"/>
        <charset val="1"/>
      </rPr>
      <t xml:space="preserve">'25</t>
    </r>
    <r>
      <rPr>
        <sz val="9"/>
        <color rgb="FF555555"/>
        <rFont val="WenQuanYi Zen Hei"/>
        <family val="2"/>
      </rPr>
      <t xml:space="preserve">보다 줄면 </t>
    </r>
    <r>
      <rPr>
        <sz val="9"/>
        <color rgb="FF555555"/>
        <rFont val="맑은 고딕"/>
        <family val="0"/>
        <charset val="1"/>
      </rPr>
      <t xml:space="preserve">0</t>
    </r>
    <r>
      <rPr>
        <sz val="9"/>
        <color rgb="FF555555"/>
        <rFont val="WenQuanYi Zen Hei"/>
        <family val="2"/>
      </rPr>
      <t xml:space="preserve">점</t>
    </r>
    <r>
      <rPr>
        <sz val="9"/>
        <color rgb="FF555555"/>
        <rFont val="맑은 고딕"/>
        <family val="0"/>
        <charset val="1"/>
      </rPr>
      <t xml:space="preserve">.
</t>
    </r>
    <r>
      <rPr>
        <sz val="9"/>
        <color rgb="FF555555"/>
        <rFont val="WenQuanYi Zen Hei"/>
        <family val="2"/>
      </rPr>
      <t xml:space="preserve">작성기준</t>
    </r>
    <r>
      <rPr>
        <sz val="9"/>
        <color rgb="FF555555"/>
        <rFont val="맑은 고딕"/>
        <family val="0"/>
        <charset val="1"/>
      </rPr>
      <t xml:space="preserve">: '26·'25</t>
    </r>
    <r>
      <rPr>
        <sz val="9"/>
        <color rgb="FF555555"/>
        <rFont val="WenQuanYi Zen Hei"/>
        <family val="2"/>
      </rPr>
      <t xml:space="preserve">에 편성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본예산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추경</t>
    </r>
    <r>
      <rPr>
        <sz val="9"/>
        <color rgb="FF555555"/>
        <rFont val="맑은 고딕"/>
        <family val="0"/>
        <charset val="1"/>
      </rPr>
      <t xml:space="preserve">)</t>
    </r>
    <r>
      <rPr>
        <sz val="9"/>
        <color rgb="FF555555"/>
        <rFont val="WenQuanYi Zen Hei"/>
        <family val="2"/>
      </rPr>
      <t xml:space="preserve">된 주민제안사업 전부</t>
    </r>
    <r>
      <rPr>
        <sz val="9"/>
        <color rgb="FF555555"/>
        <rFont val="맑은 고딕"/>
        <family val="0"/>
        <charset val="1"/>
      </rPr>
      <t xml:space="preserve">. </t>
    </r>
    <r>
      <rPr>
        <sz val="9"/>
        <color rgb="FF555555"/>
        <rFont val="WenQuanYi Zen Hei"/>
        <family val="2"/>
      </rPr>
      <t xml:space="preserve">천원 단위 반올림</t>
    </r>
    <r>
      <rPr>
        <sz val="9"/>
        <color rgb="FF555555"/>
        <rFont val="맑은 고딕"/>
        <family val="0"/>
        <charset val="1"/>
      </rPr>
      <t xml:space="preserve">. '26 </t>
    </r>
    <r>
      <rPr>
        <sz val="9"/>
        <color rgb="FF555555"/>
        <rFont val="WenQuanYi Zen Hei"/>
        <family val="2"/>
      </rPr>
      <t xml:space="preserve">공모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선정 후 </t>
    </r>
    <r>
      <rPr>
        <sz val="9"/>
        <color rgb="FF555555"/>
        <rFont val="맑은 고딕"/>
        <family val="0"/>
        <charset val="1"/>
      </rPr>
      <t xml:space="preserve">'27 </t>
    </r>
    <r>
      <rPr>
        <sz val="9"/>
        <color rgb="FF555555"/>
        <rFont val="WenQuanYi Zen Hei"/>
        <family val="2"/>
      </rPr>
      <t xml:space="preserve">본예산 편성 예정 사업은 제외</t>
    </r>
    <r>
      <rPr>
        <sz val="9"/>
        <color rgb="FF555555"/>
        <rFont val="맑은 고딕"/>
        <family val="0"/>
        <charset val="1"/>
      </rPr>
      <t xml:space="preserve">.
</t>
    </r>
    <r>
      <rPr>
        <sz val="9"/>
        <color rgb="FF555555"/>
        <rFont val="WenQuanYi Zen Hei"/>
        <family val="2"/>
      </rPr>
      <t xml:space="preserve">증빙</t>
    </r>
    <r>
      <rPr>
        <sz val="9"/>
        <color rgb="FF555555"/>
        <rFont val="맑은 고딕"/>
        <family val="0"/>
        <charset val="1"/>
      </rPr>
      <t xml:space="preserve">: </t>
    </r>
    <r>
      <rPr>
        <sz val="9"/>
        <color rgb="FF555555"/>
        <rFont val="WenQuanYi Zen Hei"/>
        <family val="2"/>
      </rPr>
      <t xml:space="preserve">사업명과 편성액이 확인되는 공식자료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내부 결재문서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홈페이지 공개자료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예산서 부기내역</t>
    </r>
    <r>
      <rPr>
        <sz val="9"/>
        <color rgb="FF555555"/>
        <rFont val="맑은 고딕"/>
        <family val="0"/>
        <charset val="1"/>
      </rPr>
      <t xml:space="preserve">). </t>
    </r>
    <r>
      <rPr>
        <sz val="9"/>
        <color rgb="FF555555"/>
        <rFont val="WenQuanYi Zen Hei"/>
        <family val="2"/>
      </rPr>
      <t xml:space="preserve">주민세는 표준지방세정보시스템 </t>
    </r>
    <r>
      <rPr>
        <sz val="9"/>
        <color rgb="FF555555"/>
        <rFont val="맑은 고딕"/>
        <family val="0"/>
        <charset val="1"/>
      </rPr>
      <t xml:space="preserve">7202 </t>
    </r>
    <r>
      <rPr>
        <sz val="9"/>
        <color rgb="FF555555"/>
        <rFont val="WenQuanYi Zen Hei"/>
        <family val="2"/>
      </rPr>
      <t xml:space="preserve">화면 캡처</t>
    </r>
    <r>
      <rPr>
        <sz val="9"/>
        <color rgb="FF555555"/>
        <rFont val="맑은 고딕"/>
        <family val="0"/>
        <charset val="1"/>
      </rPr>
      <t xml:space="preserve">.</t>
    </r>
  </si>
  <si>
    <r>
      <rPr>
        <sz val="9"/>
        <color rgb="FF000000"/>
        <rFont val="WenQuanYi Zen Hei"/>
        <family val="2"/>
      </rPr>
      <t xml:space="preserve">작성부서</t>
    </r>
    <r>
      <rPr>
        <sz val="9"/>
        <color rgb="FF000000"/>
        <rFont val="맑은 고딕"/>
        <family val="0"/>
        <charset val="1"/>
      </rPr>
      <t xml:space="preserve">:                    </t>
    </r>
    <r>
      <rPr>
        <sz val="9"/>
        <color rgb="FF000000"/>
        <rFont val="WenQuanYi Zen Hei"/>
        <family val="2"/>
      </rPr>
      <t xml:space="preserve">작성자</t>
    </r>
    <r>
      <rPr>
        <sz val="9"/>
        <color rgb="FF000000"/>
        <rFont val="맑은 고딕"/>
        <family val="0"/>
        <charset val="1"/>
      </rPr>
      <t xml:space="preserve">:                    </t>
    </r>
    <r>
      <rPr>
        <sz val="9"/>
        <color rgb="FF000000"/>
        <rFont val="WenQuanYi Zen Hei"/>
        <family val="2"/>
      </rPr>
      <t xml:space="preserve">연락처</t>
    </r>
    <r>
      <rPr>
        <sz val="9"/>
        <color rgb="FF000000"/>
        <rFont val="맑은 고딕"/>
        <family val="0"/>
        <charset val="1"/>
      </rPr>
      <t xml:space="preserve">:                    ※ </t>
    </r>
    <r>
      <rPr>
        <sz val="9"/>
        <color rgb="FF000000"/>
        <rFont val="WenQuanYi Zen Hei"/>
        <family val="2"/>
      </rPr>
      <t xml:space="preserve">노란 칸만 입력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WenQuanYi Zen Hei"/>
        <family val="2"/>
      </rPr>
      <t xml:space="preserve">회색 칸은 자동 계산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WenQuanYi Zen Hei"/>
        <family val="2"/>
      </rPr>
      <t xml:space="preserve">회색 기울임 글씨 행은 예시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지우고 작성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</si>
  <si>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구분</t>
  </si>
  <si>
    <r>
      <rPr>
        <b val="true"/>
        <sz val="10"/>
        <color rgb="FF000000"/>
        <rFont val="WenQuanYi Zen Hei"/>
        <family val="2"/>
      </rPr>
      <t xml:space="preserve">금액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천원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</si>
  <si>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비고</t>
  </si>
  <si>
    <r>
      <rPr>
        <b val="true"/>
        <sz val="10"/>
        <color rgb="FF000000"/>
        <rFont val="맑은 고딕"/>
        <family val="0"/>
        <charset val="1"/>
      </rPr>
      <t xml:space="preserve">'24</t>
    </r>
    <r>
      <rPr>
        <b val="true"/>
        <sz val="10"/>
        <color rgb="FF000000"/>
        <rFont val="WenQuanYi Zen Hei"/>
        <family val="2"/>
      </rPr>
      <t xml:space="preserve">년 주민세 총액 </t>
    </r>
    <r>
      <rPr>
        <b val="true"/>
        <sz val="10"/>
        <color rgb="FF000000"/>
        <rFont val="맑은 고딕"/>
        <family val="0"/>
        <charset val="1"/>
      </rPr>
      <t xml:space="preserve">(A)</t>
    </r>
  </si>
  <si>
    <r>
      <rPr>
        <sz val="9"/>
        <color rgb="FF555555"/>
        <rFont val="WenQuanYi Zen Hei"/>
        <family val="2"/>
      </rPr>
      <t xml:space="preserve">표준지방세정보시스템 </t>
    </r>
    <r>
      <rPr>
        <sz val="9"/>
        <color rgb="FF555555"/>
        <rFont val="맑은 고딕"/>
        <family val="0"/>
        <charset val="1"/>
      </rPr>
      <t xml:space="preserve">&gt; </t>
    </r>
    <r>
      <rPr>
        <sz val="9"/>
        <color rgb="FF555555"/>
        <rFont val="WenQuanYi Zen Hei"/>
        <family val="2"/>
      </rPr>
      <t xml:space="preserve">통계 </t>
    </r>
    <r>
      <rPr>
        <sz val="9"/>
        <color rgb="FF555555"/>
        <rFont val="맑은 고딕"/>
        <family val="0"/>
        <charset val="1"/>
      </rPr>
      <t xml:space="preserve">&gt; </t>
    </r>
    <r>
      <rPr>
        <sz val="9"/>
        <color rgb="FF555555"/>
        <rFont val="WenQuanYi Zen Hei"/>
        <family val="2"/>
      </rPr>
      <t xml:space="preserve">통계연감 </t>
    </r>
    <r>
      <rPr>
        <sz val="9"/>
        <color rgb="FF555555"/>
        <rFont val="맑은 고딕"/>
        <family val="0"/>
        <charset val="1"/>
      </rPr>
      <t xml:space="preserve">&gt; 7200</t>
    </r>
    <r>
      <rPr>
        <sz val="9"/>
        <color rgb="FF555555"/>
        <rFont val="WenQuanYi Zen Hei"/>
        <family val="2"/>
      </rPr>
      <t xml:space="preserve">주민세 </t>
    </r>
    <r>
      <rPr>
        <sz val="9"/>
        <color rgb="FF555555"/>
        <rFont val="맑은 고딕"/>
        <family val="0"/>
        <charset val="1"/>
      </rPr>
      <t xml:space="preserve">&gt; 7202 </t>
    </r>
    <r>
      <rPr>
        <sz val="9"/>
        <color rgb="FF555555"/>
        <rFont val="WenQuanYi Zen Hei"/>
        <family val="2"/>
      </rPr>
      <t xml:space="preserve">주민세징수상황총괄 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징수액</t>
    </r>
    <r>
      <rPr>
        <sz val="9"/>
        <color rgb="FF555555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</si>
  <si>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'26</t>
    </r>
    <r>
      <rPr>
        <b val="true"/>
        <sz val="10"/>
        <color rgb="FF000000"/>
        <rFont val="WenQuanYi Zen Hei"/>
        <family val="2"/>
      </rPr>
      <t xml:space="preserve">년 주민제안사업 예산 </t>
    </r>
    <r>
      <rPr>
        <b val="true"/>
        <sz val="10"/>
        <color rgb="FF000000"/>
        <rFont val="맑은 고딕"/>
        <family val="0"/>
        <charset val="1"/>
      </rPr>
      <t xml:space="preserve">(B)</t>
    </r>
  </si>
  <si>
    <r>
      <rPr>
        <sz val="9"/>
        <color rgb="FF555555"/>
        <rFont val="WenQuanYi Zen Hei"/>
        <family val="2"/>
      </rPr>
      <t xml:space="preserve">아래 목록 중 연도 </t>
    </r>
    <r>
      <rPr>
        <sz val="9"/>
        <color rgb="FF555555"/>
        <rFont val="맑은 고딕"/>
        <family val="0"/>
        <charset val="1"/>
      </rPr>
      <t xml:space="preserve">2026, 1-1 </t>
    </r>
    <r>
      <rPr>
        <sz val="9"/>
        <color rgb="FF555555"/>
        <rFont val="WenQuanYi Zen Hei"/>
        <family val="2"/>
      </rPr>
      <t xml:space="preserve">반영 </t>
    </r>
    <r>
      <rPr>
        <sz val="9"/>
        <color rgb="FF555555"/>
        <rFont val="맑은 고딕"/>
        <family val="0"/>
        <charset val="1"/>
      </rPr>
      <t xml:space="preserve">'</t>
    </r>
    <r>
      <rPr>
        <sz val="9"/>
        <color rgb="FF555555"/>
        <rFont val="WenQuanYi Zen Hei"/>
        <family val="2"/>
      </rPr>
      <t xml:space="preserve">포함</t>
    </r>
    <r>
      <rPr>
        <sz val="9"/>
        <color rgb="FF555555"/>
        <rFont val="맑은 고딕"/>
        <family val="0"/>
        <charset val="1"/>
      </rPr>
      <t xml:space="preserve">' </t>
    </r>
    <r>
      <rPr>
        <sz val="9"/>
        <color rgb="FF555555"/>
        <rFont val="WenQuanYi Zen Hei"/>
        <family val="2"/>
      </rPr>
      <t xml:space="preserve">합계 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예시 행 제외</t>
    </r>
    <r>
      <rPr>
        <sz val="9"/>
        <color rgb="FF555555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</si>
  <si>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'25</t>
    </r>
    <r>
      <rPr>
        <b val="true"/>
        <sz val="10"/>
        <color rgb="FF000000"/>
        <rFont val="WenQuanYi Zen Hei"/>
        <family val="2"/>
      </rPr>
      <t xml:space="preserve">년 주민제안사업 예산 </t>
    </r>
    <r>
      <rPr>
        <b val="true"/>
        <sz val="10"/>
        <color rgb="FF000000"/>
        <rFont val="맑은 고딕"/>
        <family val="0"/>
        <charset val="1"/>
      </rPr>
      <t xml:space="preserve">(C)</t>
    </r>
  </si>
  <si>
    <r>
      <rPr>
        <sz val="9"/>
        <color rgb="FF555555"/>
        <rFont val="WenQuanYi Zen Hei"/>
        <family val="2"/>
      </rPr>
      <t xml:space="preserve">아래 목록 중 연도 </t>
    </r>
    <r>
      <rPr>
        <sz val="9"/>
        <color rgb="FF555555"/>
        <rFont val="맑은 고딕"/>
        <family val="0"/>
        <charset val="1"/>
      </rPr>
      <t xml:space="preserve">2025, 1-1 </t>
    </r>
    <r>
      <rPr>
        <sz val="9"/>
        <color rgb="FF555555"/>
        <rFont val="WenQuanYi Zen Hei"/>
        <family val="2"/>
      </rPr>
      <t xml:space="preserve">반영 </t>
    </r>
    <r>
      <rPr>
        <sz val="9"/>
        <color rgb="FF555555"/>
        <rFont val="맑은 고딕"/>
        <family val="0"/>
        <charset val="1"/>
      </rPr>
      <t xml:space="preserve">'</t>
    </r>
    <r>
      <rPr>
        <sz val="9"/>
        <color rgb="FF555555"/>
        <rFont val="WenQuanYi Zen Hei"/>
        <family val="2"/>
      </rPr>
      <t xml:space="preserve">포함</t>
    </r>
    <r>
      <rPr>
        <sz val="9"/>
        <color rgb="FF555555"/>
        <rFont val="맑은 고딕"/>
        <family val="0"/>
        <charset val="1"/>
      </rPr>
      <t xml:space="preserve">' </t>
    </r>
    <r>
      <rPr>
        <sz val="9"/>
        <color rgb="FF555555"/>
        <rFont val="WenQuanYi Zen Hei"/>
        <family val="2"/>
      </rPr>
      <t xml:space="preserve">합계 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예시 행 제외</t>
    </r>
    <r>
      <rPr>
        <sz val="9"/>
        <color rgb="FF555555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</si>
  <si>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증감액 </t>
    </r>
    <r>
      <rPr>
        <b val="true"/>
        <sz val="10"/>
        <color rgb="FF000000"/>
        <rFont val="맑은 고딕"/>
        <family val="0"/>
        <charset val="1"/>
      </rPr>
      <t xml:space="preserve">(B-C)</t>
    </r>
  </si>
  <si>
    <r>
      <rPr>
        <sz val="9"/>
        <color rgb="FF555555"/>
        <rFont val="WenQuanYi Zen Hei"/>
        <family val="2"/>
      </rPr>
      <t xml:space="preserve">음수면 </t>
    </r>
    <r>
      <rPr>
        <sz val="9"/>
        <color rgb="FF555555"/>
        <rFont val="맑은 고딕"/>
        <family val="0"/>
        <charset val="1"/>
      </rPr>
      <t xml:space="preserve">0</t>
    </r>
    <r>
      <rPr>
        <sz val="9"/>
        <color rgb="FF555555"/>
        <rFont val="WenQuanYi Zen Hei"/>
        <family val="2"/>
      </rPr>
      <t xml:space="preserve">점</t>
    </r>
  </si>
  <si>
    <r>
      <rPr>
        <b val="true"/>
        <sz val="10"/>
        <color rgb="FF000000"/>
        <rFont val="WenQuanYi Zen Hei"/>
        <family val="2"/>
      </rPr>
      <t xml:space="preserve">주민제안사업 예산 비율 </t>
    </r>
    <r>
      <rPr>
        <b val="true"/>
        <sz val="10"/>
        <color rgb="FF000000"/>
        <rFont val="맑은 고딕"/>
        <family val="0"/>
        <charset val="1"/>
      </rPr>
      <t xml:space="preserve">(B/A)</t>
    </r>
  </si>
  <si>
    <r>
      <rPr>
        <sz val="9"/>
        <color rgb="FF555555"/>
        <rFont val="맑은 고딕"/>
        <family val="0"/>
        <charset val="1"/>
      </rPr>
      <t xml:space="preserve">e</t>
    </r>
    <r>
      <rPr>
        <sz val="9"/>
        <color rgb="FF555555"/>
        <rFont val="WenQuanYi Zen Hei"/>
        <family val="2"/>
      </rPr>
      <t xml:space="preserve">호조</t>
    </r>
    <r>
      <rPr>
        <sz val="9"/>
        <color rgb="FF555555"/>
        <rFont val="맑은 고딕"/>
        <family val="0"/>
        <charset val="1"/>
      </rPr>
      <t xml:space="preserve">+ </t>
    </r>
    <r>
      <rPr>
        <sz val="9"/>
        <color rgb="FF555555"/>
        <rFont val="WenQuanYi Zen Hei"/>
        <family val="2"/>
      </rPr>
      <t xml:space="preserve">제출 화면에 </t>
    </r>
    <r>
      <rPr>
        <sz val="9"/>
        <color rgb="FF555555"/>
        <rFont val="맑은 고딕"/>
        <family val="0"/>
        <charset val="1"/>
      </rPr>
      <t xml:space="preserve">A·B·C </t>
    </r>
    <r>
      <rPr>
        <sz val="9"/>
        <color rgb="FF555555"/>
        <rFont val="WenQuanYi Zen Hei"/>
        <family val="2"/>
      </rPr>
      <t xml:space="preserve">입력 시 자동 계산</t>
    </r>
  </si>
  <si>
    <r>
      <rPr>
        <b val="true"/>
        <sz val="11"/>
        <color rgb="FF000000"/>
        <rFont val="WenQuanYi Zen Hei"/>
        <family val="2"/>
      </rPr>
      <t xml:space="preserve">■ 주민제안사업 목록 </t>
    </r>
    <r>
      <rPr>
        <b val="true"/>
        <sz val="11"/>
        <color rgb="FF000000"/>
        <rFont val="맑은 고딕"/>
        <family val="0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연도별로 모두 기재</t>
    </r>
    <r>
      <rPr>
        <b val="true"/>
        <sz val="11"/>
        <color rgb="FF000000"/>
        <rFont val="맑은 고딕"/>
        <family val="0"/>
        <charset val="1"/>
      </rPr>
      <t xml:space="preserve">)</t>
    </r>
  </si>
  <si>
    <t xml:space="preserve">연번</t>
  </si>
  <si>
    <t xml:space="preserve">연도</t>
  </si>
  <si>
    <t xml:space="preserve">유형</t>
  </si>
  <si>
    <t xml:space="preserve">읍면</t>
  </si>
  <si>
    <t xml:space="preserve">사업명</t>
  </si>
  <si>
    <t xml:space="preserve">소관부서</t>
  </si>
  <si>
    <t xml:space="preserve">편성구분</t>
  </si>
  <si>
    <r>
      <rPr>
        <b val="true"/>
        <sz val="10"/>
        <color rgb="FF000000"/>
        <rFont val="WenQuanYi Zen Hei"/>
        <family val="2"/>
      </rPr>
      <t xml:space="preserve">편성액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천원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</si>
  <si>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1-1 </t>
    </r>
    <r>
      <rPr>
        <b val="true"/>
        <sz val="10"/>
        <color rgb="FF000000"/>
        <rFont val="WenQuanYi Zen Hei"/>
        <family val="2"/>
      </rPr>
      <t xml:space="preserve">반영</t>
    </r>
  </si>
  <si>
    <r>
      <rPr>
        <b val="true"/>
        <sz val="10"/>
        <color rgb="FF000000"/>
        <rFont val="WenQuanYi Zen Hei"/>
        <family val="2"/>
      </rPr>
      <t xml:space="preserve">증빙자료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WenQuanYi Zen Hei"/>
        <family val="2"/>
      </rPr>
      <t xml:space="preserve">비고</t>
    </r>
  </si>
  <si>
    <t xml:space="preserve">예시</t>
  </si>
  <si>
    <t xml:space="preserve">2026</t>
  </si>
  <si>
    <t xml:space="preserve">지역회의형</t>
  </si>
  <si>
    <t xml:space="preserve">옥천읍</t>
  </si>
  <si>
    <r>
      <rPr>
        <i val="true"/>
        <sz val="10"/>
        <color rgb="FF808080"/>
        <rFont val="맑은 고딕"/>
        <family val="0"/>
        <charset val="1"/>
      </rPr>
      <t xml:space="preserve">(</t>
    </r>
    <r>
      <rPr>
        <i val="true"/>
        <sz val="10"/>
        <color rgb="FF808080"/>
        <rFont val="WenQuanYi Zen Hei"/>
        <family val="2"/>
      </rPr>
      <t xml:space="preserve">예시</t>
    </r>
    <r>
      <rPr>
        <i val="true"/>
        <sz val="10"/>
        <color rgb="FF808080"/>
        <rFont val="맑은 고딕"/>
        <family val="0"/>
        <charset val="1"/>
      </rPr>
      <t xml:space="preserve">) ○○</t>
    </r>
    <r>
      <rPr>
        <i val="true"/>
        <sz val="10"/>
        <color rgb="FF808080"/>
        <rFont val="WenQuanYi Zen Hei"/>
        <family val="2"/>
      </rPr>
      <t xml:space="preserve">리 마을안길 정비</t>
    </r>
  </si>
  <si>
    <t xml:space="preserve">건설과</t>
  </si>
  <si>
    <t xml:space="preserve">본예산</t>
  </si>
  <si>
    <t xml:space="preserve">포함</t>
  </si>
  <si>
    <r>
      <rPr>
        <i val="true"/>
        <sz val="10"/>
        <color rgb="FF808080"/>
        <rFont val="맑은 고딕"/>
        <family val="0"/>
        <charset val="1"/>
      </rPr>
      <t xml:space="preserve">(</t>
    </r>
    <r>
      <rPr>
        <i val="true"/>
        <sz val="10"/>
        <color rgb="FF808080"/>
        <rFont val="WenQuanYi Zen Hei"/>
        <family val="2"/>
      </rPr>
      <t xml:space="preserve">예시</t>
    </r>
    <r>
      <rPr>
        <i val="true"/>
        <sz val="10"/>
        <color rgb="FF808080"/>
        <rFont val="맑은 고딕"/>
        <family val="0"/>
        <charset val="1"/>
      </rPr>
      <t xml:space="preserve">) '26 </t>
    </r>
    <r>
      <rPr>
        <i val="true"/>
        <sz val="10"/>
        <color rgb="FF808080"/>
        <rFont val="WenQuanYi Zen Hei"/>
        <family val="2"/>
      </rPr>
      <t xml:space="preserve">예산서 부기내역 </t>
    </r>
    <r>
      <rPr>
        <i val="true"/>
        <sz val="10"/>
        <color rgb="FF808080"/>
        <rFont val="맑은 고딕"/>
        <family val="0"/>
        <charset val="1"/>
      </rPr>
      <t xml:space="preserve">p.000</t>
    </r>
  </si>
  <si>
    <r>
      <rPr>
        <sz val="9"/>
        <color rgb="FF555555"/>
        <rFont val="WenQuanYi Zen Hei"/>
        <family val="2"/>
      </rPr>
      <t xml:space="preserve">※ 유형 중 어디까지를 </t>
    </r>
    <r>
      <rPr>
        <sz val="9"/>
        <color rgb="FF555555"/>
        <rFont val="맑은 고딕"/>
        <family val="0"/>
        <charset val="1"/>
      </rPr>
      <t xml:space="preserve">'</t>
    </r>
    <r>
      <rPr>
        <sz val="9"/>
        <color rgb="FF555555"/>
        <rFont val="WenQuanYi Zen Hei"/>
        <family val="2"/>
      </rPr>
      <t xml:space="preserve">주민제안사업</t>
    </r>
    <r>
      <rPr>
        <sz val="9"/>
        <color rgb="FF555555"/>
        <rFont val="맑은 고딕"/>
        <family val="0"/>
        <charset val="1"/>
      </rPr>
      <t xml:space="preserve">'</t>
    </r>
    <r>
      <rPr>
        <sz val="9"/>
        <color rgb="FF555555"/>
        <rFont val="WenQuanYi Zen Hei"/>
        <family val="2"/>
      </rPr>
      <t xml:space="preserve">으로 볼지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특히 주민주도 보조사업형</t>
    </r>
    <r>
      <rPr>
        <sz val="9"/>
        <color rgb="FF555555"/>
        <rFont val="맑은 고딕"/>
        <family val="0"/>
        <charset val="1"/>
      </rPr>
      <t xml:space="preserve">) </t>
    </r>
    <r>
      <rPr>
        <sz val="9"/>
        <color rgb="FF555555"/>
        <rFont val="WenQuanYi Zen Hei"/>
        <family val="2"/>
      </rPr>
      <t xml:space="preserve">담당 부서에서 정한 뒤 </t>
    </r>
    <r>
      <rPr>
        <sz val="9"/>
        <color rgb="FF555555"/>
        <rFont val="맑은 고딕"/>
        <family val="0"/>
        <charset val="1"/>
      </rPr>
      <t xml:space="preserve">'1-1 </t>
    </r>
    <r>
      <rPr>
        <sz val="9"/>
        <color rgb="FF555555"/>
        <rFont val="WenQuanYi Zen Hei"/>
        <family val="2"/>
      </rPr>
      <t xml:space="preserve">반영</t>
    </r>
    <r>
      <rPr>
        <sz val="9"/>
        <color rgb="FF555555"/>
        <rFont val="맑은 고딕"/>
        <family val="0"/>
        <charset val="1"/>
      </rPr>
      <t xml:space="preserve">'</t>
    </r>
    <r>
      <rPr>
        <sz val="9"/>
        <color rgb="FF555555"/>
        <rFont val="WenQuanYi Zen Hei"/>
        <family val="2"/>
      </rPr>
      <t xml:space="preserve">을 표시하세요</t>
    </r>
    <r>
      <rPr>
        <sz val="9"/>
        <color rgb="FF555555"/>
        <rFont val="맑은 고딕"/>
        <family val="0"/>
        <charset val="1"/>
      </rPr>
      <t xml:space="preserve">. '25 </t>
    </r>
    <r>
      <rPr>
        <sz val="9"/>
        <color rgb="FF555555"/>
        <rFont val="WenQuanYi Zen Hei"/>
        <family val="2"/>
      </rPr>
      <t xml:space="preserve">운영계획은 읍면주도형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지역회의형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주민자치회형</t>
    </r>
    <r>
      <rPr>
        <sz val="9"/>
        <color rgb="FF555555"/>
        <rFont val="맑은 고딕"/>
        <family val="0"/>
        <charset val="1"/>
      </rPr>
      <t xml:space="preserve">)</t>
    </r>
    <r>
      <rPr>
        <sz val="9"/>
        <color rgb="FF555555"/>
        <rFont val="WenQuanYi Zen Hei"/>
        <family val="2"/>
      </rPr>
      <t xml:space="preserve">과 일반공모형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군민참여형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아동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청소년참여형</t>
    </r>
    <r>
      <rPr>
        <sz val="9"/>
        <color rgb="FF555555"/>
        <rFont val="맑은 고딕"/>
        <family val="0"/>
        <charset val="1"/>
      </rPr>
      <t xml:space="preserve">)</t>
    </r>
    <r>
      <rPr>
        <sz val="9"/>
        <color rgb="FF555555"/>
        <rFont val="WenQuanYi Zen Hei"/>
        <family val="2"/>
      </rPr>
      <t xml:space="preserve">을 주민제안사업으로 구분했어요</t>
    </r>
    <r>
      <rPr>
        <sz val="9"/>
        <color rgb="FF555555"/>
        <rFont val="맑은 고딕"/>
        <family val="0"/>
        <charset val="1"/>
      </rPr>
      <t xml:space="preserve">.</t>
    </r>
  </si>
  <si>
    <r>
      <rPr>
        <b val="true"/>
        <sz val="14"/>
        <color rgb="FF000000"/>
        <rFont val="맑은 고딕"/>
        <family val="0"/>
        <charset val="1"/>
      </rPr>
      <t xml:space="preserve">[</t>
    </r>
    <r>
      <rPr>
        <b val="true"/>
        <sz val="14"/>
        <color rgb="FF000000"/>
        <rFont val="WenQuanYi Zen Hei"/>
        <family val="2"/>
      </rPr>
      <t xml:space="preserve">지표 </t>
    </r>
    <r>
      <rPr>
        <b val="true"/>
        <sz val="14"/>
        <color rgb="FF000000"/>
        <rFont val="맑은 고딕"/>
        <family val="0"/>
        <charset val="1"/>
      </rPr>
      <t xml:space="preserve">1-6] </t>
    </r>
    <r>
      <rPr>
        <b val="true"/>
        <sz val="14"/>
        <color rgb="FF000000"/>
        <rFont val="WenQuanYi Zen Hei"/>
        <family val="2"/>
      </rPr>
      <t xml:space="preserve">주민참여예산기구 운영 실적 취합</t>
    </r>
  </si>
  <si>
    <r>
      <rPr>
        <sz val="9"/>
        <color rgb="FF555555"/>
        <rFont val="WenQuanYi Zen Hei"/>
        <family val="2"/>
      </rPr>
      <t xml:space="preserve">평가</t>
    </r>
    <r>
      <rPr>
        <sz val="9"/>
        <color rgb="FF555555"/>
        <rFont val="맑은 고딕"/>
        <family val="0"/>
        <charset val="1"/>
      </rPr>
      <t xml:space="preserve">: </t>
    </r>
    <r>
      <rPr>
        <sz val="9"/>
        <color rgb="FF555555"/>
        <rFont val="WenQuanYi Zen Hei"/>
        <family val="2"/>
      </rPr>
      <t xml:space="preserve">참여예산주민위원회 </t>
    </r>
    <r>
      <rPr>
        <sz val="9"/>
        <color rgb="FF555555"/>
        <rFont val="맑은 고딕"/>
        <family val="0"/>
        <charset val="1"/>
      </rPr>
      <t xml:space="preserve">+ </t>
    </r>
    <r>
      <rPr>
        <sz val="9"/>
        <color rgb="FF555555"/>
        <rFont val="WenQuanYi Zen Hei"/>
        <family val="2"/>
      </rPr>
      <t xml:space="preserve">분과위원회 </t>
    </r>
    <r>
      <rPr>
        <sz val="9"/>
        <color rgb="FF555555"/>
        <rFont val="맑은 고딕"/>
        <family val="0"/>
        <charset val="1"/>
      </rPr>
      <t xml:space="preserve">+ </t>
    </r>
    <r>
      <rPr>
        <sz val="9"/>
        <color rgb="FF555555"/>
        <rFont val="WenQuanYi Zen Hei"/>
        <family val="2"/>
      </rPr>
      <t xml:space="preserve">지역회의 등 지원조직의 실제 회의 개최 횟수 합계</t>
    </r>
    <r>
      <rPr>
        <sz val="9"/>
        <color rgb="FF555555"/>
        <rFont val="맑은 고딕"/>
        <family val="0"/>
        <charset val="1"/>
      </rPr>
      <t xml:space="preserve">. 20</t>
    </r>
    <r>
      <rPr>
        <sz val="9"/>
        <color rgb="FF555555"/>
        <rFont val="WenQuanYi Zen Hei"/>
        <family val="2"/>
      </rPr>
      <t xml:space="preserve">회 초과 </t>
    </r>
    <r>
      <rPr>
        <sz val="9"/>
        <color rgb="FF555555"/>
        <rFont val="맑은 고딕"/>
        <family val="0"/>
        <charset val="1"/>
      </rPr>
      <t xml:space="preserve">3</t>
    </r>
    <r>
      <rPr>
        <sz val="9"/>
        <color rgb="FF555555"/>
        <rFont val="WenQuanYi Zen Hei"/>
        <family val="2"/>
      </rPr>
      <t xml:space="preserve">점 </t>
    </r>
    <r>
      <rPr>
        <sz val="9"/>
        <color rgb="FF555555"/>
        <rFont val="맑은 고딕"/>
        <family val="0"/>
        <charset val="1"/>
      </rPr>
      <t xml:space="preserve">/ 11~20</t>
    </r>
    <r>
      <rPr>
        <sz val="9"/>
        <color rgb="FF555555"/>
        <rFont val="WenQuanYi Zen Hei"/>
        <family val="2"/>
      </rPr>
      <t xml:space="preserve">회 </t>
    </r>
    <r>
      <rPr>
        <sz val="9"/>
        <color rgb="FF555555"/>
        <rFont val="맑은 고딕"/>
        <family val="0"/>
        <charset val="1"/>
      </rPr>
      <t xml:space="preserve">2</t>
    </r>
    <r>
      <rPr>
        <sz val="9"/>
        <color rgb="FF555555"/>
        <rFont val="WenQuanYi Zen Hei"/>
        <family val="2"/>
      </rPr>
      <t xml:space="preserve">점 </t>
    </r>
    <r>
      <rPr>
        <sz val="9"/>
        <color rgb="FF555555"/>
        <rFont val="맑은 고딕"/>
        <family val="0"/>
        <charset val="1"/>
      </rPr>
      <t xml:space="preserve">/ 5~10</t>
    </r>
    <r>
      <rPr>
        <sz val="9"/>
        <color rgb="FF555555"/>
        <rFont val="WenQuanYi Zen Hei"/>
        <family val="2"/>
      </rPr>
      <t xml:space="preserve">회 </t>
    </r>
    <r>
      <rPr>
        <sz val="9"/>
        <color rgb="FF555555"/>
        <rFont val="맑은 고딕"/>
        <family val="0"/>
        <charset val="1"/>
      </rPr>
      <t xml:space="preserve">1</t>
    </r>
    <r>
      <rPr>
        <sz val="9"/>
        <color rgb="FF555555"/>
        <rFont val="WenQuanYi Zen Hei"/>
        <family val="2"/>
      </rPr>
      <t xml:space="preserve">점 </t>
    </r>
    <r>
      <rPr>
        <sz val="9"/>
        <color rgb="FF555555"/>
        <rFont val="맑은 고딕"/>
        <family val="0"/>
        <charset val="1"/>
      </rPr>
      <t xml:space="preserve">(3</t>
    </r>
    <r>
      <rPr>
        <sz val="9"/>
        <color rgb="FF555555"/>
        <rFont val="WenQuanYi Zen Hei"/>
        <family val="2"/>
      </rPr>
      <t xml:space="preserve">점</t>
    </r>
    <r>
      <rPr>
        <sz val="9"/>
        <color rgb="FF555555"/>
        <rFont val="맑은 고딕"/>
        <family val="0"/>
        <charset val="1"/>
      </rPr>
      <t xml:space="preserve">).
</t>
    </r>
    <r>
      <rPr>
        <sz val="9"/>
        <color rgb="FF555555"/>
        <rFont val="WenQuanYi Zen Hei"/>
        <family val="2"/>
      </rPr>
      <t xml:space="preserve">작성기준</t>
    </r>
    <r>
      <rPr>
        <sz val="9"/>
        <color rgb="FF555555"/>
        <rFont val="맑은 고딕"/>
        <family val="0"/>
        <charset val="1"/>
      </rPr>
      <t xml:space="preserve">: 2026</t>
    </r>
    <r>
      <rPr>
        <sz val="9"/>
        <color rgb="FF555555"/>
        <rFont val="WenQuanYi Zen Hei"/>
        <family val="2"/>
      </rPr>
      <t xml:space="preserve">년 </t>
    </r>
    <r>
      <rPr>
        <sz val="9"/>
        <color rgb="FF555555"/>
        <rFont val="맑은 고딕"/>
        <family val="0"/>
        <charset val="1"/>
      </rPr>
      <t xml:space="preserve">1~12</t>
    </r>
    <r>
      <rPr>
        <sz val="9"/>
        <color rgb="FF555555"/>
        <rFont val="WenQuanYi Zen Hei"/>
        <family val="2"/>
      </rPr>
      <t xml:space="preserve">월</t>
    </r>
    <r>
      <rPr>
        <sz val="9"/>
        <color rgb="FF555555"/>
        <rFont val="맑은 고딕"/>
        <family val="0"/>
        <charset val="1"/>
      </rPr>
      <t xml:space="preserve">(12</t>
    </r>
    <r>
      <rPr>
        <sz val="9"/>
        <color rgb="FF555555"/>
        <rFont val="WenQuanYi Zen Hei"/>
        <family val="2"/>
      </rPr>
      <t xml:space="preserve">월 말 예정분 포함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계획 문서 필요</t>
    </r>
    <r>
      <rPr>
        <sz val="9"/>
        <color rgb="FF555555"/>
        <rFont val="맑은 고딕"/>
        <family val="0"/>
        <charset val="1"/>
      </rPr>
      <t xml:space="preserve">). </t>
    </r>
    <r>
      <rPr>
        <sz val="9"/>
        <color rgb="FF555555"/>
        <rFont val="WenQuanYi Zen Hei"/>
        <family val="2"/>
      </rPr>
      <t xml:space="preserve">서면자료 배포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내부 행정회의 등 실질 운영이 아닌 것은 제외</t>
    </r>
    <r>
      <rPr>
        <sz val="9"/>
        <color rgb="FF555555"/>
        <rFont val="맑은 고딕"/>
        <family val="0"/>
        <charset val="1"/>
      </rPr>
      <t xml:space="preserve">.
</t>
    </r>
    <r>
      <rPr>
        <sz val="9"/>
        <color rgb="FF555555"/>
        <rFont val="WenQuanYi Zen Hei"/>
        <family val="2"/>
      </rPr>
      <t xml:space="preserve">증빙</t>
    </r>
    <r>
      <rPr>
        <sz val="9"/>
        <color rgb="FF555555"/>
        <rFont val="맑은 고딕"/>
        <family val="0"/>
        <charset val="1"/>
      </rPr>
      <t xml:space="preserve">: </t>
    </r>
    <r>
      <rPr>
        <sz val="9"/>
        <color rgb="FF555555"/>
        <rFont val="WenQuanYi Zen Hei"/>
        <family val="2"/>
      </rPr>
      <t xml:space="preserve">개최 계획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결과보고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회의록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사진</t>
    </r>
    <r>
      <rPr>
        <sz val="9"/>
        <color rgb="FF555555"/>
        <rFont val="맑은 고딕"/>
        <family val="0"/>
        <charset val="1"/>
      </rPr>
      <t xml:space="preserve">. </t>
    </r>
    <r>
      <rPr>
        <sz val="9"/>
        <color rgb="FF555555"/>
        <rFont val="WenQuanYi Zen Hei"/>
        <family val="2"/>
      </rPr>
      <t xml:space="preserve">개최일자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참석인원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주요안건이 확인돼야 해요</t>
    </r>
    <r>
      <rPr>
        <sz val="9"/>
        <color rgb="FF555555"/>
        <rFont val="맑은 고딕"/>
        <family val="0"/>
        <charset val="1"/>
      </rPr>
      <t xml:space="preserve">.</t>
    </r>
  </si>
  <si>
    <t xml:space="preserve">기구 구분</t>
  </si>
  <si>
    <r>
      <rPr>
        <b val="true"/>
        <sz val="10"/>
        <color rgb="FF000000"/>
        <rFont val="WenQuanYi Zen Hei"/>
        <family val="2"/>
      </rPr>
      <t xml:space="preserve">세부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분과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읍면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</si>
  <si>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개최일자</t>
  </si>
  <si>
    <t xml:space="preserve">장소</t>
  </si>
  <si>
    <r>
      <rPr>
        <b val="true"/>
        <sz val="10"/>
        <color rgb="FF000000"/>
        <rFont val="WenQuanYi Zen Hei"/>
        <family val="2"/>
      </rPr>
      <t xml:space="preserve">참석인원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명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</si>
  <si>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주요안건</t>
  </si>
  <si>
    <t xml:space="preserve">증빙자료</t>
  </si>
  <si>
    <r>
      <rPr>
        <b val="true"/>
        <sz val="10"/>
        <color rgb="FF000000"/>
        <rFont val="WenQuanYi Zen Hei"/>
        <family val="2"/>
      </rPr>
      <t xml:space="preserve">비고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예정 여부 등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</si>
  <si>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분과위원회</t>
  </si>
  <si>
    <t xml:space="preserve">자치행정분과</t>
  </si>
  <si>
    <t xml:space="preserve">2026-10-14</t>
  </si>
  <si>
    <t xml:space="preserve">군청 대회의실</t>
  </si>
  <si>
    <r>
      <rPr>
        <i val="true"/>
        <sz val="10"/>
        <color rgb="FF808080"/>
        <rFont val="맑은 고딕"/>
        <family val="0"/>
        <charset val="1"/>
      </rPr>
      <t xml:space="preserve">(</t>
    </r>
    <r>
      <rPr>
        <i val="true"/>
        <sz val="10"/>
        <color rgb="FF808080"/>
        <rFont val="WenQuanYi Zen Hei"/>
        <family val="2"/>
      </rPr>
      <t xml:space="preserve">예시</t>
    </r>
    <r>
      <rPr>
        <i val="true"/>
        <sz val="10"/>
        <color rgb="FF808080"/>
        <rFont val="맑은 고딕"/>
        <family val="0"/>
        <charset val="1"/>
      </rPr>
      <t xml:space="preserve">) '27</t>
    </r>
    <r>
      <rPr>
        <i val="true"/>
        <sz val="10"/>
        <color rgb="FF808080"/>
        <rFont val="WenQuanYi Zen Hei"/>
        <family val="2"/>
      </rPr>
      <t xml:space="preserve">년 주민제안사업 우선순위 심의</t>
    </r>
  </si>
  <si>
    <r>
      <rPr>
        <i val="true"/>
        <sz val="10"/>
        <color rgb="FF808080"/>
        <rFont val="맑은 고딕"/>
        <family val="0"/>
        <charset val="1"/>
      </rPr>
      <t xml:space="preserve">(</t>
    </r>
    <r>
      <rPr>
        <i val="true"/>
        <sz val="10"/>
        <color rgb="FF808080"/>
        <rFont val="WenQuanYi Zen Hei"/>
        <family val="2"/>
      </rPr>
      <t xml:space="preserve">예시</t>
    </r>
    <r>
      <rPr>
        <i val="true"/>
        <sz val="10"/>
        <color rgb="FF808080"/>
        <rFont val="맑은 고딕"/>
        <family val="0"/>
        <charset val="1"/>
      </rPr>
      <t xml:space="preserve">) </t>
    </r>
    <r>
      <rPr>
        <i val="true"/>
        <sz val="10"/>
        <color rgb="FF808080"/>
        <rFont val="WenQuanYi Zen Hei"/>
        <family val="2"/>
      </rPr>
      <t xml:space="preserve">분과위원회 개최 결과보고</t>
    </r>
  </si>
  <si>
    <t xml:space="preserve">완료</t>
  </si>
  <si>
    <t xml:space="preserve">참여예산주민위원회</t>
  </si>
  <si>
    <t xml:space="preserve">전체회의</t>
  </si>
  <si>
    <t xml:space="preserve">농산개발분과</t>
  </si>
  <si>
    <t xml:space="preserve">복지문화분과</t>
  </si>
  <si>
    <t xml:space="preserve">지역회의</t>
  </si>
  <si>
    <t xml:space="preserve">동이면</t>
  </si>
  <si>
    <t xml:space="preserve">안남면</t>
  </si>
  <si>
    <t xml:space="preserve">안내면</t>
  </si>
  <si>
    <t xml:space="preserve">청성면</t>
  </si>
  <si>
    <t xml:space="preserve">청산면</t>
  </si>
  <si>
    <t xml:space="preserve">이원면</t>
  </si>
  <si>
    <t xml:space="preserve">군서면</t>
  </si>
  <si>
    <t xml:space="preserve">군북면</t>
  </si>
  <si>
    <r>
      <rPr>
        <b val="true"/>
        <sz val="11"/>
        <color rgb="FF000000"/>
        <rFont val="WenQuanYi Zen Hei"/>
        <family val="2"/>
      </rPr>
      <t xml:space="preserve">■ 집계 </t>
    </r>
    <r>
      <rPr>
        <b val="true"/>
        <sz val="11"/>
        <color rgb="FF000000"/>
        <rFont val="맑은 고딕"/>
        <family val="0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개최일자가 입력된 회의만 셈</t>
    </r>
    <r>
      <rPr>
        <b val="true"/>
        <sz val="11"/>
        <color rgb="FF000000"/>
        <rFont val="맑은 고딕"/>
        <family val="0"/>
        <charset val="1"/>
      </rPr>
      <t xml:space="preserve">)</t>
    </r>
  </si>
  <si>
    <t xml:space="preserve">기타 지원조직</t>
  </si>
  <si>
    <t xml:space="preserve">합계</t>
  </si>
  <si>
    <t xml:space="preserve">예상 점수</t>
  </si>
  <si>
    <r>
      <rPr>
        <b val="true"/>
        <sz val="14"/>
        <color rgb="FF000000"/>
        <rFont val="맑은 고딕"/>
        <family val="0"/>
        <charset val="1"/>
      </rPr>
      <t xml:space="preserve">[</t>
    </r>
    <r>
      <rPr>
        <b val="true"/>
        <sz val="14"/>
        <color rgb="FF000000"/>
        <rFont val="WenQuanYi Zen Hei"/>
        <family val="2"/>
      </rPr>
      <t xml:space="preserve">지표 </t>
    </r>
    <r>
      <rPr>
        <b val="true"/>
        <sz val="14"/>
        <color rgb="FF000000"/>
        <rFont val="맑은 고딕"/>
        <family val="0"/>
        <charset val="1"/>
      </rPr>
      <t xml:space="preserve">3-1·3-2] </t>
    </r>
    <r>
      <rPr>
        <b val="true"/>
        <sz val="14"/>
        <color rgb="FF000000"/>
        <rFont val="WenQuanYi Zen Hei"/>
        <family val="2"/>
      </rPr>
      <t xml:space="preserve">주민참여예산 교육 실적 취합</t>
    </r>
  </si>
  <si>
    <r>
      <rPr>
        <sz val="9"/>
        <color rgb="FF555555"/>
        <rFont val="맑은 고딕"/>
        <family val="0"/>
        <charset val="1"/>
      </rPr>
      <t xml:space="preserve">3-1 </t>
    </r>
    <r>
      <rPr>
        <sz val="9"/>
        <color rgb="FF555555"/>
        <rFont val="WenQuanYi Zen Hei"/>
        <family val="2"/>
      </rPr>
      <t xml:space="preserve">교육과정 수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대상별로 구분되는 과정</t>
    </r>
    <r>
      <rPr>
        <sz val="9"/>
        <color rgb="FF555555"/>
        <rFont val="맑은 고딕"/>
        <family val="0"/>
        <charset val="1"/>
      </rPr>
      <t xml:space="preserve">): 5</t>
    </r>
    <r>
      <rPr>
        <sz val="9"/>
        <color rgb="FF555555"/>
        <rFont val="WenQuanYi Zen Hei"/>
        <family val="2"/>
      </rPr>
      <t xml:space="preserve">개 이상 </t>
    </r>
    <r>
      <rPr>
        <sz val="9"/>
        <color rgb="FF555555"/>
        <rFont val="맑은 고딕"/>
        <family val="0"/>
        <charset val="1"/>
      </rPr>
      <t xml:space="preserve">4</t>
    </r>
    <r>
      <rPr>
        <sz val="9"/>
        <color rgb="FF555555"/>
        <rFont val="WenQuanYi Zen Hei"/>
        <family val="2"/>
      </rPr>
      <t xml:space="preserve">점 </t>
    </r>
    <r>
      <rPr>
        <sz val="9"/>
        <color rgb="FF555555"/>
        <rFont val="맑은 고딕"/>
        <family val="0"/>
        <charset val="1"/>
      </rPr>
      <t xml:space="preserve">/ 3~4</t>
    </r>
    <r>
      <rPr>
        <sz val="9"/>
        <color rgb="FF555555"/>
        <rFont val="WenQuanYi Zen Hei"/>
        <family val="2"/>
      </rPr>
      <t xml:space="preserve">개 </t>
    </r>
    <r>
      <rPr>
        <sz val="9"/>
        <color rgb="FF555555"/>
        <rFont val="맑은 고딕"/>
        <family val="0"/>
        <charset val="1"/>
      </rPr>
      <t xml:space="preserve">3</t>
    </r>
    <r>
      <rPr>
        <sz val="9"/>
        <color rgb="FF555555"/>
        <rFont val="WenQuanYi Zen Hei"/>
        <family val="2"/>
      </rPr>
      <t xml:space="preserve">점 </t>
    </r>
    <r>
      <rPr>
        <sz val="9"/>
        <color rgb="FF555555"/>
        <rFont val="맑은 고딕"/>
        <family val="0"/>
        <charset val="1"/>
      </rPr>
      <t xml:space="preserve">/ 1~2</t>
    </r>
    <r>
      <rPr>
        <sz val="9"/>
        <color rgb="FF555555"/>
        <rFont val="WenQuanYi Zen Hei"/>
        <family val="2"/>
      </rPr>
      <t xml:space="preserve">개 </t>
    </r>
    <r>
      <rPr>
        <sz val="9"/>
        <color rgb="FF555555"/>
        <rFont val="맑은 고딕"/>
        <family val="0"/>
        <charset val="1"/>
      </rPr>
      <t xml:space="preserve">2</t>
    </r>
    <r>
      <rPr>
        <sz val="9"/>
        <color rgb="FF555555"/>
        <rFont val="WenQuanYi Zen Hei"/>
        <family val="2"/>
      </rPr>
      <t xml:space="preserve">점</t>
    </r>
    <r>
      <rPr>
        <sz val="9"/>
        <color rgb="FF555555"/>
        <rFont val="맑은 고딕"/>
        <family val="0"/>
        <charset val="1"/>
      </rPr>
      <t xml:space="preserve">.  3-2 </t>
    </r>
    <r>
      <rPr>
        <sz val="9"/>
        <color rgb="FF555555"/>
        <rFont val="WenQuanYi Zen Hei"/>
        <family val="2"/>
      </rPr>
      <t xml:space="preserve">교육시간 합계</t>
    </r>
    <r>
      <rPr>
        <sz val="9"/>
        <color rgb="FF555555"/>
        <rFont val="맑은 고딕"/>
        <family val="0"/>
        <charset val="1"/>
      </rPr>
      <t xml:space="preserve">: 15</t>
    </r>
    <r>
      <rPr>
        <sz val="9"/>
        <color rgb="FF555555"/>
        <rFont val="WenQuanYi Zen Hei"/>
        <family val="2"/>
      </rPr>
      <t xml:space="preserve">시간 이상 </t>
    </r>
    <r>
      <rPr>
        <sz val="9"/>
        <color rgb="FF555555"/>
        <rFont val="맑은 고딕"/>
        <family val="0"/>
        <charset val="1"/>
      </rPr>
      <t xml:space="preserve">4</t>
    </r>
    <r>
      <rPr>
        <sz val="9"/>
        <color rgb="FF555555"/>
        <rFont val="WenQuanYi Zen Hei"/>
        <family val="2"/>
      </rPr>
      <t xml:space="preserve">점 </t>
    </r>
    <r>
      <rPr>
        <sz val="9"/>
        <color rgb="FF555555"/>
        <rFont val="맑은 고딕"/>
        <family val="0"/>
        <charset val="1"/>
      </rPr>
      <t xml:space="preserve">/ 7~14</t>
    </r>
    <r>
      <rPr>
        <sz val="9"/>
        <color rgb="FF555555"/>
        <rFont val="WenQuanYi Zen Hei"/>
        <family val="2"/>
      </rPr>
      <t xml:space="preserve">시간 </t>
    </r>
    <r>
      <rPr>
        <sz val="9"/>
        <color rgb="FF555555"/>
        <rFont val="맑은 고딕"/>
        <family val="0"/>
        <charset val="1"/>
      </rPr>
      <t xml:space="preserve">2</t>
    </r>
    <r>
      <rPr>
        <sz val="9"/>
        <color rgb="FF555555"/>
        <rFont val="WenQuanYi Zen Hei"/>
        <family val="2"/>
      </rPr>
      <t xml:space="preserve">점 </t>
    </r>
    <r>
      <rPr>
        <sz val="9"/>
        <color rgb="FF555555"/>
        <rFont val="맑은 고딕"/>
        <family val="0"/>
        <charset val="1"/>
      </rPr>
      <t xml:space="preserve">/ 7</t>
    </r>
    <r>
      <rPr>
        <sz val="9"/>
        <color rgb="FF555555"/>
        <rFont val="WenQuanYi Zen Hei"/>
        <family val="2"/>
      </rPr>
      <t xml:space="preserve">시간 미만 </t>
    </r>
    <r>
      <rPr>
        <sz val="9"/>
        <color rgb="FF555555"/>
        <rFont val="맑은 고딕"/>
        <family val="0"/>
        <charset val="1"/>
      </rPr>
      <t xml:space="preserve">0</t>
    </r>
    <r>
      <rPr>
        <sz val="9"/>
        <color rgb="FF555555"/>
        <rFont val="WenQuanYi Zen Hei"/>
        <family val="2"/>
      </rPr>
      <t xml:space="preserve">점</t>
    </r>
    <r>
      <rPr>
        <sz val="9"/>
        <color rgb="FF555555"/>
        <rFont val="맑은 고딕"/>
        <family val="0"/>
        <charset val="1"/>
      </rPr>
      <t xml:space="preserve">.
</t>
    </r>
    <r>
      <rPr>
        <sz val="9"/>
        <color rgb="FF555555"/>
        <rFont val="WenQuanYi Zen Hei"/>
        <family val="2"/>
      </rPr>
      <t xml:space="preserve">교육시간은 수강인원과 관계없이 실제 운영시간으로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온라인 교육은 </t>
    </r>
    <r>
      <rPr>
        <sz val="9"/>
        <color rgb="FF555555"/>
        <rFont val="맑은 고딕"/>
        <family val="0"/>
        <charset val="1"/>
      </rPr>
      <t xml:space="preserve">1</t>
    </r>
    <r>
      <rPr>
        <sz val="9"/>
        <color rgb="FF555555"/>
        <rFont val="WenQuanYi Zen Hei"/>
        <family val="2"/>
      </rPr>
      <t xml:space="preserve">회 운영시간으로 셈해요</t>
    </r>
    <r>
      <rPr>
        <sz val="9"/>
        <color rgb="FF555555"/>
        <rFont val="맑은 고딕"/>
        <family val="0"/>
        <charset val="1"/>
      </rPr>
      <t xml:space="preserve">. </t>
    </r>
    <r>
      <rPr>
        <sz val="9"/>
        <color rgb="FF555555"/>
        <rFont val="WenQuanYi Zen Hei"/>
        <family val="2"/>
      </rPr>
      <t xml:space="preserve">충북도가 군을 대상으로 개설한 교육도 군 실적으로 인정돼요</t>
    </r>
    <r>
      <rPr>
        <sz val="9"/>
        <color rgb="FF555555"/>
        <rFont val="맑은 고딕"/>
        <family val="0"/>
        <charset val="1"/>
      </rPr>
      <t xml:space="preserve">.
</t>
    </r>
    <r>
      <rPr>
        <sz val="9"/>
        <color rgb="FF555555"/>
        <rFont val="WenQuanYi Zen Hei"/>
        <family val="2"/>
      </rPr>
      <t xml:space="preserve">대상 예</t>
    </r>
    <r>
      <rPr>
        <sz val="9"/>
        <color rgb="FF555555"/>
        <rFont val="맑은 고딕"/>
        <family val="0"/>
        <charset val="1"/>
      </rPr>
      <t xml:space="preserve">: </t>
    </r>
    <r>
      <rPr>
        <sz val="9"/>
        <color rgb="FF555555"/>
        <rFont val="WenQuanYi Zen Hei"/>
        <family val="2"/>
      </rPr>
      <t xml:space="preserve">참여예산주민위원회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지역회의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주민자치회 등 주민기구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사회적약자</t>
    </r>
    <r>
      <rPr>
        <sz val="9"/>
        <color rgb="FF555555"/>
        <rFont val="맑은 고딕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노인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장애인 등</t>
    </r>
    <r>
      <rPr>
        <sz val="9"/>
        <color rgb="FF555555"/>
        <rFont val="맑은 고딕"/>
        <family val="0"/>
        <charset val="1"/>
      </rPr>
      <t xml:space="preserve">), </t>
    </r>
    <r>
      <rPr>
        <sz val="9"/>
        <color rgb="FF555555"/>
        <rFont val="WenQuanYi Zen Hei"/>
        <family val="2"/>
      </rPr>
      <t xml:space="preserve">아동</t>
    </r>
    <r>
      <rPr>
        <sz val="9"/>
        <color rgb="FF555555"/>
        <rFont val="맑은 고딕"/>
        <family val="0"/>
        <charset val="1"/>
      </rPr>
      <t xml:space="preserve">·</t>
    </r>
    <r>
      <rPr>
        <sz val="9"/>
        <color rgb="FF555555"/>
        <rFont val="WenQuanYi Zen Hei"/>
        <family val="2"/>
      </rPr>
      <t xml:space="preserve">청소년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청년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일반주민</t>
    </r>
    <r>
      <rPr>
        <sz val="9"/>
        <color rgb="FF555555"/>
        <rFont val="맑은 고딕"/>
        <family val="0"/>
        <charset val="1"/>
      </rPr>
      <t xml:space="preserve">.</t>
    </r>
  </si>
  <si>
    <t xml:space="preserve">교육대상</t>
  </si>
  <si>
    <r>
      <rPr>
        <b val="true"/>
        <sz val="10"/>
        <color rgb="FF000000"/>
        <rFont val="WenQuanYi Zen Hei"/>
        <family val="2"/>
      </rPr>
      <t xml:space="preserve">교육과정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교육명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</si>
  <si>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교육일자</t>
  </si>
  <si>
    <r>
      <rPr>
        <b val="true"/>
        <sz val="10"/>
        <color rgb="FF000000"/>
        <rFont val="WenQuanYi Zen Hei"/>
        <family val="2"/>
      </rPr>
      <t xml:space="preserve">교육시간</t>
    </r>
    <r>
      <rPr>
        <b val="true"/>
        <sz val="10"/>
        <color rgb="FF000000"/>
        <rFont val="맑은 고딕"/>
        <family val="0"/>
        <charset val="1"/>
      </rPr>
      <t xml:space="preserve">(h)</t>
    </r>
  </si>
  <si>
    <t xml:space="preserve">방식</t>
  </si>
  <si>
    <t xml:space="preserve">운영주체</t>
  </si>
  <si>
    <t xml:space="preserve">교육내용</t>
  </si>
  <si>
    <r>
      <rPr>
        <i val="true"/>
        <sz val="10"/>
        <color rgb="FF808080"/>
        <rFont val="맑은 고딕"/>
        <family val="0"/>
        <charset val="1"/>
      </rPr>
      <t xml:space="preserve">(</t>
    </r>
    <r>
      <rPr>
        <i val="true"/>
        <sz val="10"/>
        <color rgb="FF808080"/>
        <rFont val="WenQuanYi Zen Hei"/>
        <family val="2"/>
      </rPr>
      <t xml:space="preserve">예시</t>
    </r>
    <r>
      <rPr>
        <i val="true"/>
        <sz val="10"/>
        <color rgb="FF808080"/>
        <rFont val="맑은 고딕"/>
        <family val="0"/>
        <charset val="1"/>
      </rPr>
      <t xml:space="preserve">) 2026 </t>
    </r>
    <r>
      <rPr>
        <i val="true"/>
        <sz val="10"/>
        <color rgb="FF808080"/>
        <rFont val="WenQuanYi Zen Hei"/>
        <family val="2"/>
      </rPr>
      <t xml:space="preserve">주민참여예산학교</t>
    </r>
  </si>
  <si>
    <t xml:space="preserve">2026-10-09</t>
  </si>
  <si>
    <t xml:space="preserve">대면</t>
  </si>
  <si>
    <t xml:space="preserve">옥천군</t>
  </si>
  <si>
    <r>
      <rPr>
        <i val="true"/>
        <sz val="10"/>
        <color rgb="FF808080"/>
        <rFont val="맑은 고딕"/>
        <family val="0"/>
        <charset val="1"/>
      </rPr>
      <t xml:space="preserve">(</t>
    </r>
    <r>
      <rPr>
        <i val="true"/>
        <sz val="10"/>
        <color rgb="FF808080"/>
        <rFont val="WenQuanYi Zen Hei"/>
        <family val="2"/>
      </rPr>
      <t xml:space="preserve">예시</t>
    </r>
    <r>
      <rPr>
        <i val="true"/>
        <sz val="10"/>
        <color rgb="FF808080"/>
        <rFont val="맑은 고딕"/>
        <family val="0"/>
        <charset val="1"/>
      </rPr>
      <t xml:space="preserve">) </t>
    </r>
    <r>
      <rPr>
        <i val="true"/>
        <sz val="10"/>
        <color rgb="FF808080"/>
        <rFont val="WenQuanYi Zen Hei"/>
        <family val="2"/>
      </rPr>
      <t xml:space="preserve">주민참여예산제의 이해</t>
    </r>
    <r>
      <rPr>
        <i val="true"/>
        <sz val="10"/>
        <color rgb="FF808080"/>
        <rFont val="맑은 고딕"/>
        <family val="0"/>
        <charset val="1"/>
      </rPr>
      <t xml:space="preserve">, '27 </t>
    </r>
    <r>
      <rPr>
        <i val="true"/>
        <sz val="10"/>
        <color rgb="FF808080"/>
        <rFont val="WenQuanYi Zen Hei"/>
        <family val="2"/>
      </rPr>
      <t xml:space="preserve">예산편성 방향</t>
    </r>
  </si>
  <si>
    <r>
      <rPr>
        <i val="true"/>
        <sz val="10"/>
        <color rgb="FF808080"/>
        <rFont val="맑은 고딕"/>
        <family val="0"/>
        <charset val="1"/>
      </rPr>
      <t xml:space="preserve">(</t>
    </r>
    <r>
      <rPr>
        <i val="true"/>
        <sz val="10"/>
        <color rgb="FF808080"/>
        <rFont val="WenQuanYi Zen Hei"/>
        <family val="2"/>
      </rPr>
      <t xml:space="preserve">예시</t>
    </r>
    <r>
      <rPr>
        <i val="true"/>
        <sz val="10"/>
        <color rgb="FF808080"/>
        <rFont val="맑은 고딕"/>
        <family val="0"/>
        <charset val="1"/>
      </rPr>
      <t xml:space="preserve">) </t>
    </r>
    <r>
      <rPr>
        <i val="true"/>
        <sz val="10"/>
        <color rgb="FF808080"/>
        <rFont val="WenQuanYi Zen Hei"/>
        <family val="2"/>
      </rPr>
      <t xml:space="preserve">운영 결과 보고</t>
    </r>
  </si>
  <si>
    <r>
      <rPr>
        <b val="true"/>
        <sz val="11"/>
        <color rgb="FF000000"/>
        <rFont val="WenQuanYi Zen Hei"/>
        <family val="2"/>
      </rPr>
      <t xml:space="preserve">■ 집계 </t>
    </r>
    <r>
      <rPr>
        <b val="true"/>
        <sz val="11"/>
        <color rgb="FF000000"/>
        <rFont val="맑은 고딕"/>
        <family val="0"/>
        <charset val="1"/>
      </rPr>
      <t xml:space="preserve">(</t>
    </r>
    <r>
      <rPr>
        <b val="true"/>
        <sz val="11"/>
        <color rgb="FF000000"/>
        <rFont val="WenQuanYi Zen Hei"/>
        <family val="2"/>
      </rPr>
      <t xml:space="preserve">예시 행 제외</t>
    </r>
    <r>
      <rPr>
        <b val="true"/>
        <sz val="11"/>
        <color rgb="FF000000"/>
        <rFont val="맑은 고딕"/>
        <family val="0"/>
        <charset val="1"/>
      </rPr>
      <t xml:space="preserve">)</t>
    </r>
  </si>
  <si>
    <t xml:space="preserve">교육과정 수</t>
  </si>
  <si>
    <r>
      <rPr>
        <b val="true"/>
        <sz val="10"/>
        <color rgb="FF000000"/>
        <rFont val="맑은 고딕"/>
        <family val="0"/>
        <charset val="1"/>
      </rPr>
      <t xml:space="preserve">3-1 </t>
    </r>
    <r>
      <rPr>
        <b val="true"/>
        <sz val="10"/>
        <color rgb="FF000000"/>
        <rFont val="WenQuanYi Zen Hei"/>
        <family val="2"/>
      </rPr>
      <t xml:space="preserve">예상 점수</t>
    </r>
  </si>
  <si>
    <r>
      <rPr>
        <b val="true"/>
        <sz val="10"/>
        <color rgb="FF000000"/>
        <rFont val="WenQuanYi Zen Hei"/>
        <family val="2"/>
      </rPr>
      <t xml:space="preserve">교육시간 합계</t>
    </r>
    <r>
      <rPr>
        <b val="true"/>
        <sz val="10"/>
        <color rgb="FF000000"/>
        <rFont val="맑은 고딕"/>
        <family val="0"/>
        <charset val="1"/>
      </rPr>
      <t xml:space="preserve">(h)</t>
    </r>
  </si>
  <si>
    <r>
      <rPr>
        <b val="true"/>
        <sz val="10"/>
        <color rgb="FF000000"/>
        <rFont val="맑은 고딕"/>
        <family val="0"/>
        <charset val="1"/>
      </rPr>
      <t xml:space="preserve">3-2 </t>
    </r>
    <r>
      <rPr>
        <b val="true"/>
        <sz val="10"/>
        <color rgb="FF000000"/>
        <rFont val="WenQuanYi Zen Hei"/>
        <family val="2"/>
      </rPr>
      <t xml:space="preserve">예상 점수</t>
    </r>
  </si>
  <si>
    <r>
      <rPr>
        <sz val="9"/>
        <color rgb="FF555555"/>
        <rFont val="WenQuanYi Zen Hei"/>
        <family val="2"/>
      </rPr>
      <t xml:space="preserve">※ 같은 대상에 같은 과정을 여러 번 운영했으면 과정 수는 </t>
    </r>
    <r>
      <rPr>
        <sz val="9"/>
        <color rgb="FF555555"/>
        <rFont val="맑은 고딕"/>
        <family val="0"/>
        <charset val="1"/>
      </rPr>
      <t xml:space="preserve">1</t>
    </r>
    <r>
      <rPr>
        <sz val="9"/>
        <color rgb="FF555555"/>
        <rFont val="WenQuanYi Zen Hei"/>
        <family val="2"/>
      </rPr>
      <t xml:space="preserve">개로 보고</t>
    </r>
    <r>
      <rPr>
        <sz val="9"/>
        <color rgb="FF555555"/>
        <rFont val="맑은 고딕"/>
        <family val="0"/>
        <charset val="1"/>
      </rPr>
      <t xml:space="preserve">, </t>
    </r>
    <r>
      <rPr>
        <sz val="9"/>
        <color rgb="FF555555"/>
        <rFont val="WenQuanYi Zen Hei"/>
        <family val="2"/>
      </rPr>
      <t xml:space="preserve">시간은 모두 더해요</t>
    </r>
    <r>
      <rPr>
        <sz val="9"/>
        <color rgb="FF555555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</si>
</sst>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-#,##0;\-"/>
    <numFmt numFmtId="166" formatCode="0.00%"/>
    <numFmt numFmtId="167" formatCode="#,##0"/>
    <numFmt numFmtId="168" formatCode="yyyy\-mm\-dd"/>
    <numFmt numFmtId="169" formatCode="General"/>
    <numFmt numFmtId="170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맑은 고딕"/>
      <family val="0"/>
      <charset val="1"/>
    </font>
    <font>
      <b val="true"/>
      <sz val="14"/>
      <color rgb="FF000000"/>
      <name val="WenQuanYi Zen Hei"/>
      <family val="2"/>
    </font>
    <font>
      <sz val="9"/>
      <color rgb="FF555555"/>
      <name val="WenQuanYi Zen Hei"/>
      <family val="2"/>
    </font>
    <font>
      <sz val="9"/>
      <color rgb="FF555555"/>
      <name val="맑은 고딕"/>
      <family val="0"/>
      <charset val="1"/>
    </font>
    <font>
      <sz val="9"/>
      <color rgb="FF000000"/>
      <name val="WenQuanYi Zen Hei"/>
      <family val="2"/>
    </font>
    <font>
      <sz val="9"/>
      <color rgb="FF000000"/>
      <name val="맑은 고딕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00"/>
      <name val="맑은 고딕"/>
      <family val="0"/>
      <charset val="1"/>
    </font>
    <font>
      <b val="true"/>
      <sz val="11"/>
      <color rgb="FF000000"/>
      <name val="WenQuanYi Zen Hei"/>
      <family val="2"/>
    </font>
    <font>
      <b val="true"/>
      <sz val="11"/>
      <color rgb="FF000000"/>
      <name val="맑은 고딕"/>
      <family val="0"/>
      <charset val="1"/>
    </font>
    <font>
      <i val="true"/>
      <sz val="10"/>
      <color rgb="FF808080"/>
      <name val="WenQuanYi Zen Hei"/>
      <family val="2"/>
    </font>
    <font>
      <i val="true"/>
      <sz val="10"/>
      <color rgb="FF808080"/>
      <name val="맑은 고딕"/>
      <family val="0"/>
      <charset val="1"/>
    </font>
    <font>
      <sz val="10"/>
      <color rgb="FF000000"/>
      <name val="맑은 고딕"/>
      <family val="0"/>
      <charset val="1"/>
    </font>
    <font>
      <sz val="10"/>
      <color rgb="FF00000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34"/>
  </cols>
  <sheetData>
    <row r="1" customFormat="false" ht="19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5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3.4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true" outlineLevel="0" collapsed="false">
      <c r="A5" s="4" t="s">
        <v>3</v>
      </c>
      <c r="B5" s="4"/>
      <c r="C5" s="4"/>
      <c r="D5" s="4" t="s">
        <v>4</v>
      </c>
      <c r="E5" s="4"/>
      <c r="F5" s="4" t="s">
        <v>5</v>
      </c>
      <c r="G5" s="4"/>
      <c r="H5" s="4"/>
      <c r="I5" s="4"/>
      <c r="J5" s="4"/>
    </row>
    <row r="6" customFormat="false" ht="19.5" hidden="false" customHeight="true" outlineLevel="0" collapsed="false">
      <c r="A6" s="5" t="s">
        <v>6</v>
      </c>
      <c r="B6" s="5"/>
      <c r="C6" s="5"/>
      <c r="D6" s="6"/>
      <c r="E6" s="6"/>
      <c r="F6" s="7" t="s">
        <v>7</v>
      </c>
      <c r="G6" s="7"/>
      <c r="H6" s="7"/>
      <c r="I6" s="7"/>
      <c r="J6" s="7"/>
    </row>
    <row r="7" customFormat="false" ht="19.5" hidden="false" customHeight="true" outlineLevel="0" collapsed="false">
      <c r="A7" s="5" t="s">
        <v>8</v>
      </c>
      <c r="B7" s="5"/>
      <c r="C7" s="5"/>
      <c r="D7" s="8" t="n">
        <f aca="false">SUMIFS(H15:H80,B15:B80,"2026",I15:I80,"포함")</f>
        <v>0</v>
      </c>
      <c r="E7" s="8"/>
      <c r="F7" s="7" t="s">
        <v>9</v>
      </c>
      <c r="G7" s="7"/>
      <c r="H7" s="7"/>
      <c r="I7" s="7"/>
      <c r="J7" s="7"/>
    </row>
    <row r="8" customFormat="false" ht="19.5" hidden="false" customHeight="true" outlineLevel="0" collapsed="false">
      <c r="A8" s="5" t="s">
        <v>10</v>
      </c>
      <c r="B8" s="5"/>
      <c r="C8" s="5"/>
      <c r="D8" s="8" t="n">
        <f aca="false">SUMIFS(H15:H80,B15:B80,"2025",I15:I80,"포함")</f>
        <v>0</v>
      </c>
      <c r="E8" s="8"/>
      <c r="F8" s="7" t="s">
        <v>11</v>
      </c>
      <c r="G8" s="7"/>
      <c r="H8" s="7"/>
      <c r="I8" s="7"/>
      <c r="J8" s="7"/>
    </row>
    <row r="9" customFormat="false" ht="19.5" hidden="false" customHeight="true" outlineLevel="0" collapsed="false">
      <c r="A9" s="9" t="s">
        <v>12</v>
      </c>
      <c r="B9" s="9"/>
      <c r="C9" s="9"/>
      <c r="D9" s="8" t="n">
        <f aca="false">D7-D8</f>
        <v>0</v>
      </c>
      <c r="E9" s="8"/>
      <c r="F9" s="7" t="s">
        <v>13</v>
      </c>
      <c r="G9" s="7"/>
      <c r="H9" s="7"/>
      <c r="I9" s="7"/>
      <c r="J9" s="7"/>
    </row>
    <row r="10" customFormat="false" ht="19.5" hidden="false" customHeight="true" outlineLevel="0" collapsed="false">
      <c r="A10" s="9" t="s">
        <v>14</v>
      </c>
      <c r="B10" s="9"/>
      <c r="C10" s="9"/>
      <c r="D10" s="10" t="str">
        <f aca="false">IF(D6&gt;0,D7/D6,"")</f>
        <v/>
      </c>
      <c r="E10" s="10"/>
      <c r="F10" s="11" t="s">
        <v>15</v>
      </c>
      <c r="G10" s="11"/>
      <c r="H10" s="11"/>
      <c r="I10" s="11"/>
      <c r="J10" s="11"/>
    </row>
    <row r="12" customFormat="false" ht="15" hidden="false" customHeight="false" outlineLevel="0" collapsed="false">
      <c r="A12" s="12" t="s">
        <v>16</v>
      </c>
    </row>
    <row r="13" customFormat="false" ht="30" hidden="false" customHeight="true" outlineLevel="0" collapsed="false">
      <c r="A13" s="4" t="s">
        <v>17</v>
      </c>
      <c r="B13" s="4" t="s">
        <v>18</v>
      </c>
      <c r="C13" s="4" t="s">
        <v>19</v>
      </c>
      <c r="D13" s="4" t="s">
        <v>20</v>
      </c>
      <c r="E13" s="4" t="s">
        <v>21</v>
      </c>
      <c r="F13" s="4" t="s">
        <v>22</v>
      </c>
      <c r="G13" s="4" t="s">
        <v>23</v>
      </c>
      <c r="H13" s="4" t="s">
        <v>24</v>
      </c>
      <c r="I13" s="13" t="s">
        <v>25</v>
      </c>
      <c r="J13" s="4" t="s">
        <v>26</v>
      </c>
    </row>
    <row r="14" customFormat="false" ht="21.75" hidden="false" customHeight="true" outlineLevel="0" collapsed="false">
      <c r="A14" s="14" t="s">
        <v>27</v>
      </c>
      <c r="B14" s="15" t="s">
        <v>28</v>
      </c>
      <c r="C14" s="16" t="s">
        <v>29</v>
      </c>
      <c r="D14" s="16" t="s">
        <v>30</v>
      </c>
      <c r="E14" s="15" t="s">
        <v>31</v>
      </c>
      <c r="F14" s="16" t="s">
        <v>32</v>
      </c>
      <c r="G14" s="16" t="s">
        <v>33</v>
      </c>
      <c r="H14" s="17" t="n">
        <v>30000</v>
      </c>
      <c r="I14" s="16" t="s">
        <v>34</v>
      </c>
      <c r="J14" s="15" t="s">
        <v>35</v>
      </c>
    </row>
    <row r="15" customFormat="false" ht="21.75" hidden="false" customHeight="true" outlineLevel="0" collapsed="false">
      <c r="A15" s="18" t="str">
        <f aca="false">IF(E15="","",COUNTA(E$15:E15))</f>
        <v/>
      </c>
      <c r="B15" s="19"/>
      <c r="C15" s="19"/>
      <c r="D15" s="19"/>
      <c r="E15" s="19"/>
      <c r="F15" s="19"/>
      <c r="G15" s="19"/>
      <c r="H15" s="20"/>
      <c r="I15" s="19"/>
      <c r="J15" s="19"/>
    </row>
    <row r="16" customFormat="false" ht="21.75" hidden="false" customHeight="true" outlineLevel="0" collapsed="false">
      <c r="A16" s="18" t="str">
        <f aca="false">IF(E16="","",COUNTA(E$15:E16))</f>
        <v/>
      </c>
      <c r="B16" s="19"/>
      <c r="C16" s="19"/>
      <c r="D16" s="19"/>
      <c r="E16" s="19"/>
      <c r="F16" s="19"/>
      <c r="G16" s="19"/>
      <c r="H16" s="20"/>
      <c r="I16" s="19"/>
      <c r="J16" s="19"/>
    </row>
    <row r="17" customFormat="false" ht="21.75" hidden="false" customHeight="true" outlineLevel="0" collapsed="false">
      <c r="A17" s="18" t="str">
        <f aca="false">IF(E17="","",COUNTA(E$15:E17))</f>
        <v/>
      </c>
      <c r="B17" s="19"/>
      <c r="C17" s="19"/>
      <c r="D17" s="19"/>
      <c r="E17" s="19"/>
      <c r="F17" s="19"/>
      <c r="G17" s="19"/>
      <c r="H17" s="20"/>
      <c r="I17" s="19"/>
      <c r="J17" s="19"/>
    </row>
    <row r="18" customFormat="false" ht="21.75" hidden="false" customHeight="true" outlineLevel="0" collapsed="false">
      <c r="A18" s="18" t="str">
        <f aca="false">IF(E18="","",COUNTA(E$15:E18))</f>
        <v/>
      </c>
      <c r="B18" s="19"/>
      <c r="C18" s="19"/>
      <c r="D18" s="19"/>
      <c r="E18" s="19"/>
      <c r="F18" s="19"/>
      <c r="G18" s="19"/>
      <c r="H18" s="20"/>
      <c r="I18" s="19"/>
      <c r="J18" s="19"/>
    </row>
    <row r="19" customFormat="false" ht="21.75" hidden="false" customHeight="true" outlineLevel="0" collapsed="false">
      <c r="A19" s="18" t="str">
        <f aca="false">IF(E19="","",COUNTA(E$15:E19))</f>
        <v/>
      </c>
      <c r="B19" s="19"/>
      <c r="C19" s="19"/>
      <c r="D19" s="19"/>
      <c r="E19" s="19"/>
      <c r="F19" s="19"/>
      <c r="G19" s="19"/>
      <c r="H19" s="20"/>
      <c r="I19" s="19"/>
      <c r="J19" s="19"/>
    </row>
    <row r="20" customFormat="false" ht="21.75" hidden="false" customHeight="true" outlineLevel="0" collapsed="false">
      <c r="A20" s="18" t="str">
        <f aca="false">IF(E20="","",COUNTA(E$15:E20))</f>
        <v/>
      </c>
      <c r="B20" s="19"/>
      <c r="C20" s="19"/>
      <c r="D20" s="19"/>
      <c r="E20" s="19"/>
      <c r="F20" s="19"/>
      <c r="G20" s="19"/>
      <c r="H20" s="20"/>
      <c r="I20" s="19"/>
      <c r="J20" s="19"/>
    </row>
    <row r="21" customFormat="false" ht="21.75" hidden="false" customHeight="true" outlineLevel="0" collapsed="false">
      <c r="A21" s="18" t="str">
        <f aca="false">IF(E21="","",COUNTA(E$15:E21))</f>
        <v/>
      </c>
      <c r="B21" s="19"/>
      <c r="C21" s="19"/>
      <c r="D21" s="19"/>
      <c r="E21" s="19"/>
      <c r="F21" s="19"/>
      <c r="G21" s="19"/>
      <c r="H21" s="20"/>
      <c r="I21" s="19"/>
      <c r="J21" s="19"/>
    </row>
    <row r="22" customFormat="false" ht="21.75" hidden="false" customHeight="true" outlineLevel="0" collapsed="false">
      <c r="A22" s="18" t="str">
        <f aca="false">IF(E22="","",COUNTA(E$15:E22))</f>
        <v/>
      </c>
      <c r="B22" s="19"/>
      <c r="C22" s="19"/>
      <c r="D22" s="19"/>
      <c r="E22" s="19"/>
      <c r="F22" s="19"/>
      <c r="G22" s="19"/>
      <c r="H22" s="20"/>
      <c r="I22" s="19"/>
      <c r="J22" s="19"/>
    </row>
    <row r="23" customFormat="false" ht="21.75" hidden="false" customHeight="true" outlineLevel="0" collapsed="false">
      <c r="A23" s="18" t="str">
        <f aca="false">IF(E23="","",COUNTA(E$15:E23))</f>
        <v/>
      </c>
      <c r="B23" s="19"/>
      <c r="C23" s="19"/>
      <c r="D23" s="19"/>
      <c r="E23" s="19"/>
      <c r="F23" s="19"/>
      <c r="G23" s="19"/>
      <c r="H23" s="20"/>
      <c r="I23" s="19"/>
      <c r="J23" s="19"/>
    </row>
    <row r="24" customFormat="false" ht="21.75" hidden="false" customHeight="true" outlineLevel="0" collapsed="false">
      <c r="A24" s="18" t="str">
        <f aca="false">IF(E24="","",COUNTA(E$15:E24))</f>
        <v/>
      </c>
      <c r="B24" s="19"/>
      <c r="C24" s="19"/>
      <c r="D24" s="19"/>
      <c r="E24" s="19"/>
      <c r="F24" s="19"/>
      <c r="G24" s="19"/>
      <c r="H24" s="20"/>
      <c r="I24" s="19"/>
      <c r="J24" s="19"/>
    </row>
    <row r="25" customFormat="false" ht="21.75" hidden="false" customHeight="true" outlineLevel="0" collapsed="false">
      <c r="A25" s="18" t="str">
        <f aca="false">IF(E25="","",COUNTA(E$15:E25))</f>
        <v/>
      </c>
      <c r="B25" s="19"/>
      <c r="C25" s="19"/>
      <c r="D25" s="19"/>
      <c r="E25" s="19"/>
      <c r="F25" s="19"/>
      <c r="G25" s="19"/>
      <c r="H25" s="20"/>
      <c r="I25" s="19"/>
      <c r="J25" s="19"/>
    </row>
    <row r="26" customFormat="false" ht="21.75" hidden="false" customHeight="true" outlineLevel="0" collapsed="false">
      <c r="A26" s="18" t="str">
        <f aca="false">IF(E26="","",COUNTA(E$15:E26))</f>
        <v/>
      </c>
      <c r="B26" s="19"/>
      <c r="C26" s="19"/>
      <c r="D26" s="19"/>
      <c r="E26" s="19"/>
      <c r="F26" s="19"/>
      <c r="G26" s="19"/>
      <c r="H26" s="20"/>
      <c r="I26" s="19"/>
      <c r="J26" s="19"/>
    </row>
    <row r="27" customFormat="false" ht="21.75" hidden="false" customHeight="true" outlineLevel="0" collapsed="false">
      <c r="A27" s="18" t="str">
        <f aca="false">IF(E27="","",COUNTA(E$15:E27))</f>
        <v/>
      </c>
      <c r="B27" s="19"/>
      <c r="C27" s="19"/>
      <c r="D27" s="19"/>
      <c r="E27" s="19"/>
      <c r="F27" s="19"/>
      <c r="G27" s="19"/>
      <c r="H27" s="20"/>
      <c r="I27" s="19"/>
      <c r="J27" s="19"/>
    </row>
    <row r="28" customFormat="false" ht="21.75" hidden="false" customHeight="true" outlineLevel="0" collapsed="false">
      <c r="A28" s="18" t="str">
        <f aca="false">IF(E28="","",COUNTA(E$15:E28))</f>
        <v/>
      </c>
      <c r="B28" s="19"/>
      <c r="C28" s="19"/>
      <c r="D28" s="19"/>
      <c r="E28" s="19"/>
      <c r="F28" s="19"/>
      <c r="G28" s="19"/>
      <c r="H28" s="20"/>
      <c r="I28" s="19"/>
      <c r="J28" s="19"/>
    </row>
    <row r="29" customFormat="false" ht="21.75" hidden="false" customHeight="true" outlineLevel="0" collapsed="false">
      <c r="A29" s="18" t="str">
        <f aca="false">IF(E29="","",COUNTA(E$15:E29))</f>
        <v/>
      </c>
      <c r="B29" s="19"/>
      <c r="C29" s="19"/>
      <c r="D29" s="19"/>
      <c r="E29" s="19"/>
      <c r="F29" s="19"/>
      <c r="G29" s="19"/>
      <c r="H29" s="20"/>
      <c r="I29" s="19"/>
      <c r="J29" s="19"/>
    </row>
    <row r="30" customFormat="false" ht="21.75" hidden="false" customHeight="true" outlineLevel="0" collapsed="false">
      <c r="A30" s="18" t="str">
        <f aca="false">IF(E30="","",COUNTA(E$15:E30))</f>
        <v/>
      </c>
      <c r="B30" s="19"/>
      <c r="C30" s="19"/>
      <c r="D30" s="19"/>
      <c r="E30" s="19"/>
      <c r="F30" s="19"/>
      <c r="G30" s="19"/>
      <c r="H30" s="20"/>
      <c r="I30" s="19"/>
      <c r="J30" s="19"/>
    </row>
    <row r="31" customFormat="false" ht="21.75" hidden="false" customHeight="true" outlineLevel="0" collapsed="false">
      <c r="A31" s="18" t="str">
        <f aca="false">IF(E31="","",COUNTA(E$15:E31))</f>
        <v/>
      </c>
      <c r="B31" s="19"/>
      <c r="C31" s="19"/>
      <c r="D31" s="19"/>
      <c r="E31" s="19"/>
      <c r="F31" s="19"/>
      <c r="G31" s="19"/>
      <c r="H31" s="20"/>
      <c r="I31" s="19"/>
      <c r="J31" s="19"/>
    </row>
    <row r="32" customFormat="false" ht="21.75" hidden="false" customHeight="true" outlineLevel="0" collapsed="false">
      <c r="A32" s="18" t="str">
        <f aca="false">IF(E32="","",COUNTA(E$15:E32))</f>
        <v/>
      </c>
      <c r="B32" s="19"/>
      <c r="C32" s="19"/>
      <c r="D32" s="19"/>
      <c r="E32" s="19"/>
      <c r="F32" s="19"/>
      <c r="G32" s="19"/>
      <c r="H32" s="20"/>
      <c r="I32" s="19"/>
      <c r="J32" s="19"/>
    </row>
    <row r="33" customFormat="false" ht="21.75" hidden="false" customHeight="true" outlineLevel="0" collapsed="false">
      <c r="A33" s="18" t="str">
        <f aca="false">IF(E33="","",COUNTA(E$15:E33))</f>
        <v/>
      </c>
      <c r="B33" s="19"/>
      <c r="C33" s="19"/>
      <c r="D33" s="19"/>
      <c r="E33" s="19"/>
      <c r="F33" s="19"/>
      <c r="G33" s="19"/>
      <c r="H33" s="20"/>
      <c r="I33" s="19"/>
      <c r="J33" s="19"/>
    </row>
    <row r="34" customFormat="false" ht="21.75" hidden="false" customHeight="true" outlineLevel="0" collapsed="false">
      <c r="A34" s="18" t="str">
        <f aca="false">IF(E34="","",COUNTA(E$15:E34))</f>
        <v/>
      </c>
      <c r="B34" s="19"/>
      <c r="C34" s="19"/>
      <c r="D34" s="19"/>
      <c r="E34" s="19"/>
      <c r="F34" s="19"/>
      <c r="G34" s="19"/>
      <c r="H34" s="20"/>
      <c r="I34" s="19"/>
      <c r="J34" s="19"/>
    </row>
    <row r="35" customFormat="false" ht="21.75" hidden="false" customHeight="true" outlineLevel="0" collapsed="false">
      <c r="A35" s="18" t="str">
        <f aca="false">IF(E35="","",COUNTA(E$15:E35))</f>
        <v/>
      </c>
      <c r="B35" s="19"/>
      <c r="C35" s="19"/>
      <c r="D35" s="19"/>
      <c r="E35" s="19"/>
      <c r="F35" s="19"/>
      <c r="G35" s="19"/>
      <c r="H35" s="20"/>
      <c r="I35" s="19"/>
      <c r="J35" s="19"/>
    </row>
    <row r="36" customFormat="false" ht="21.75" hidden="false" customHeight="true" outlineLevel="0" collapsed="false">
      <c r="A36" s="18" t="str">
        <f aca="false">IF(E36="","",COUNTA(E$15:E36))</f>
        <v/>
      </c>
      <c r="B36" s="19"/>
      <c r="C36" s="19"/>
      <c r="D36" s="19"/>
      <c r="E36" s="19"/>
      <c r="F36" s="19"/>
      <c r="G36" s="19"/>
      <c r="H36" s="20"/>
      <c r="I36" s="19"/>
      <c r="J36" s="19"/>
    </row>
    <row r="37" customFormat="false" ht="21.75" hidden="false" customHeight="true" outlineLevel="0" collapsed="false">
      <c r="A37" s="18" t="str">
        <f aca="false">IF(E37="","",COUNTA(E$15:E37))</f>
        <v/>
      </c>
      <c r="B37" s="19"/>
      <c r="C37" s="19"/>
      <c r="D37" s="19"/>
      <c r="E37" s="19"/>
      <c r="F37" s="19"/>
      <c r="G37" s="19"/>
      <c r="H37" s="20"/>
      <c r="I37" s="19"/>
      <c r="J37" s="19"/>
    </row>
    <row r="38" customFormat="false" ht="21.75" hidden="false" customHeight="true" outlineLevel="0" collapsed="false">
      <c r="A38" s="18" t="str">
        <f aca="false">IF(E38="","",COUNTA(E$15:E38))</f>
        <v/>
      </c>
      <c r="B38" s="19"/>
      <c r="C38" s="19"/>
      <c r="D38" s="19"/>
      <c r="E38" s="19"/>
      <c r="F38" s="19"/>
      <c r="G38" s="19"/>
      <c r="H38" s="20"/>
      <c r="I38" s="19"/>
      <c r="J38" s="19"/>
    </row>
    <row r="39" customFormat="false" ht="21.75" hidden="false" customHeight="true" outlineLevel="0" collapsed="false">
      <c r="A39" s="18" t="str">
        <f aca="false">IF(E39="","",COUNTA(E$15:E39))</f>
        <v/>
      </c>
      <c r="B39" s="19"/>
      <c r="C39" s="19"/>
      <c r="D39" s="19"/>
      <c r="E39" s="19"/>
      <c r="F39" s="19"/>
      <c r="G39" s="19"/>
      <c r="H39" s="20"/>
      <c r="I39" s="19"/>
      <c r="J39" s="19"/>
    </row>
    <row r="40" customFormat="false" ht="21.75" hidden="false" customHeight="true" outlineLevel="0" collapsed="false">
      <c r="A40" s="18" t="str">
        <f aca="false">IF(E40="","",COUNTA(E$15:E40))</f>
        <v/>
      </c>
      <c r="B40" s="19"/>
      <c r="C40" s="19"/>
      <c r="D40" s="19"/>
      <c r="E40" s="19"/>
      <c r="F40" s="19"/>
      <c r="G40" s="19"/>
      <c r="H40" s="20"/>
      <c r="I40" s="19"/>
      <c r="J40" s="19"/>
    </row>
    <row r="41" customFormat="false" ht="21.75" hidden="false" customHeight="true" outlineLevel="0" collapsed="false">
      <c r="A41" s="18" t="str">
        <f aca="false">IF(E41="","",COUNTA(E$15:E41))</f>
        <v/>
      </c>
      <c r="B41" s="19"/>
      <c r="C41" s="19"/>
      <c r="D41" s="19"/>
      <c r="E41" s="19"/>
      <c r="F41" s="19"/>
      <c r="G41" s="19"/>
      <c r="H41" s="20"/>
      <c r="I41" s="19"/>
      <c r="J41" s="19"/>
    </row>
    <row r="42" customFormat="false" ht="21.75" hidden="false" customHeight="true" outlineLevel="0" collapsed="false">
      <c r="A42" s="18" t="str">
        <f aca="false">IF(E42="","",COUNTA(E$15:E42))</f>
        <v/>
      </c>
      <c r="B42" s="19"/>
      <c r="C42" s="19"/>
      <c r="D42" s="19"/>
      <c r="E42" s="19"/>
      <c r="F42" s="19"/>
      <c r="G42" s="19"/>
      <c r="H42" s="20"/>
      <c r="I42" s="19"/>
      <c r="J42" s="19"/>
    </row>
    <row r="43" customFormat="false" ht="21.75" hidden="false" customHeight="true" outlineLevel="0" collapsed="false">
      <c r="A43" s="18" t="str">
        <f aca="false">IF(E43="","",COUNTA(E$15:E43))</f>
        <v/>
      </c>
      <c r="B43" s="19"/>
      <c r="C43" s="19"/>
      <c r="D43" s="19"/>
      <c r="E43" s="19"/>
      <c r="F43" s="19"/>
      <c r="G43" s="19"/>
      <c r="H43" s="20"/>
      <c r="I43" s="19"/>
      <c r="J43" s="19"/>
    </row>
    <row r="44" customFormat="false" ht="21.75" hidden="false" customHeight="true" outlineLevel="0" collapsed="false">
      <c r="A44" s="18" t="str">
        <f aca="false">IF(E44="","",COUNTA(E$15:E44))</f>
        <v/>
      </c>
      <c r="B44" s="19"/>
      <c r="C44" s="19"/>
      <c r="D44" s="19"/>
      <c r="E44" s="19"/>
      <c r="F44" s="19"/>
      <c r="G44" s="19"/>
      <c r="H44" s="20"/>
      <c r="I44" s="19"/>
      <c r="J44" s="19"/>
    </row>
    <row r="45" customFormat="false" ht="21.75" hidden="false" customHeight="true" outlineLevel="0" collapsed="false">
      <c r="A45" s="18" t="str">
        <f aca="false">IF(E45="","",COUNTA(E$15:E45))</f>
        <v/>
      </c>
      <c r="B45" s="19"/>
      <c r="C45" s="19"/>
      <c r="D45" s="19"/>
      <c r="E45" s="19"/>
      <c r="F45" s="19"/>
      <c r="G45" s="19"/>
      <c r="H45" s="20"/>
      <c r="I45" s="19"/>
      <c r="J45" s="19"/>
    </row>
    <row r="46" customFormat="false" ht="21.75" hidden="false" customHeight="true" outlineLevel="0" collapsed="false">
      <c r="A46" s="18" t="str">
        <f aca="false">IF(E46="","",COUNTA(E$15:E46))</f>
        <v/>
      </c>
      <c r="B46" s="19"/>
      <c r="C46" s="19"/>
      <c r="D46" s="19"/>
      <c r="E46" s="19"/>
      <c r="F46" s="19"/>
      <c r="G46" s="19"/>
      <c r="H46" s="20"/>
      <c r="I46" s="19"/>
      <c r="J46" s="19"/>
    </row>
    <row r="47" customFormat="false" ht="21.75" hidden="false" customHeight="true" outlineLevel="0" collapsed="false">
      <c r="A47" s="18" t="str">
        <f aca="false">IF(E47="","",COUNTA(E$15:E47))</f>
        <v/>
      </c>
      <c r="B47" s="19"/>
      <c r="C47" s="19"/>
      <c r="D47" s="19"/>
      <c r="E47" s="19"/>
      <c r="F47" s="19"/>
      <c r="G47" s="19"/>
      <c r="H47" s="20"/>
      <c r="I47" s="19"/>
      <c r="J47" s="19"/>
    </row>
    <row r="48" customFormat="false" ht="21.75" hidden="false" customHeight="true" outlineLevel="0" collapsed="false">
      <c r="A48" s="18" t="str">
        <f aca="false">IF(E48="","",COUNTA(E$15:E48))</f>
        <v/>
      </c>
      <c r="B48" s="19"/>
      <c r="C48" s="19"/>
      <c r="D48" s="19"/>
      <c r="E48" s="19"/>
      <c r="F48" s="19"/>
      <c r="G48" s="19"/>
      <c r="H48" s="20"/>
      <c r="I48" s="19"/>
      <c r="J48" s="19"/>
    </row>
    <row r="49" customFormat="false" ht="21.75" hidden="false" customHeight="true" outlineLevel="0" collapsed="false">
      <c r="A49" s="18" t="str">
        <f aca="false">IF(E49="","",COUNTA(E$15:E49))</f>
        <v/>
      </c>
      <c r="B49" s="19"/>
      <c r="C49" s="19"/>
      <c r="D49" s="19"/>
      <c r="E49" s="19"/>
      <c r="F49" s="19"/>
      <c r="G49" s="19"/>
      <c r="H49" s="20"/>
      <c r="I49" s="19"/>
      <c r="J49" s="19"/>
    </row>
    <row r="50" customFormat="false" ht="21.75" hidden="false" customHeight="true" outlineLevel="0" collapsed="false">
      <c r="A50" s="18" t="str">
        <f aca="false">IF(E50="","",COUNTA(E$15:E50))</f>
        <v/>
      </c>
      <c r="B50" s="19"/>
      <c r="C50" s="19"/>
      <c r="D50" s="19"/>
      <c r="E50" s="19"/>
      <c r="F50" s="19"/>
      <c r="G50" s="19"/>
      <c r="H50" s="20"/>
      <c r="I50" s="19"/>
      <c r="J50" s="19"/>
    </row>
    <row r="51" customFormat="false" ht="21.75" hidden="false" customHeight="true" outlineLevel="0" collapsed="false">
      <c r="A51" s="18" t="str">
        <f aca="false">IF(E51="","",COUNTA(E$15:E51))</f>
        <v/>
      </c>
      <c r="B51" s="19"/>
      <c r="C51" s="19"/>
      <c r="D51" s="19"/>
      <c r="E51" s="19"/>
      <c r="F51" s="19"/>
      <c r="G51" s="19"/>
      <c r="H51" s="20"/>
      <c r="I51" s="19"/>
      <c r="J51" s="19"/>
    </row>
    <row r="52" customFormat="false" ht="21.75" hidden="false" customHeight="true" outlineLevel="0" collapsed="false">
      <c r="A52" s="18" t="str">
        <f aca="false">IF(E52="","",COUNTA(E$15:E52))</f>
        <v/>
      </c>
      <c r="B52" s="19"/>
      <c r="C52" s="19"/>
      <c r="D52" s="19"/>
      <c r="E52" s="19"/>
      <c r="F52" s="19"/>
      <c r="G52" s="19"/>
      <c r="H52" s="20"/>
      <c r="I52" s="19"/>
      <c r="J52" s="19"/>
    </row>
    <row r="53" customFormat="false" ht="21.75" hidden="false" customHeight="true" outlineLevel="0" collapsed="false">
      <c r="A53" s="18" t="str">
        <f aca="false">IF(E53="","",COUNTA(E$15:E53))</f>
        <v/>
      </c>
      <c r="B53" s="19"/>
      <c r="C53" s="19"/>
      <c r="D53" s="19"/>
      <c r="E53" s="19"/>
      <c r="F53" s="19"/>
      <c r="G53" s="19"/>
      <c r="H53" s="20"/>
      <c r="I53" s="19"/>
      <c r="J53" s="19"/>
    </row>
    <row r="54" customFormat="false" ht="21.75" hidden="false" customHeight="true" outlineLevel="0" collapsed="false">
      <c r="A54" s="18" t="str">
        <f aca="false">IF(E54="","",COUNTA(E$15:E54))</f>
        <v/>
      </c>
      <c r="B54" s="19"/>
      <c r="C54" s="19"/>
      <c r="D54" s="19"/>
      <c r="E54" s="19"/>
      <c r="F54" s="19"/>
      <c r="G54" s="19"/>
      <c r="H54" s="20"/>
      <c r="I54" s="19"/>
      <c r="J54" s="19"/>
    </row>
    <row r="55" customFormat="false" ht="21.75" hidden="false" customHeight="true" outlineLevel="0" collapsed="false">
      <c r="A55" s="18" t="str">
        <f aca="false">IF(E55="","",COUNTA(E$15:E55))</f>
        <v/>
      </c>
      <c r="B55" s="19"/>
      <c r="C55" s="19"/>
      <c r="D55" s="19"/>
      <c r="E55" s="19"/>
      <c r="F55" s="19"/>
      <c r="G55" s="19"/>
      <c r="H55" s="20"/>
      <c r="I55" s="19"/>
      <c r="J55" s="19"/>
    </row>
    <row r="56" customFormat="false" ht="21.75" hidden="false" customHeight="true" outlineLevel="0" collapsed="false">
      <c r="A56" s="18" t="str">
        <f aca="false">IF(E56="","",COUNTA(E$15:E56))</f>
        <v/>
      </c>
      <c r="B56" s="19"/>
      <c r="C56" s="19"/>
      <c r="D56" s="19"/>
      <c r="E56" s="19"/>
      <c r="F56" s="19"/>
      <c r="G56" s="19"/>
      <c r="H56" s="20"/>
      <c r="I56" s="19"/>
      <c r="J56" s="19"/>
    </row>
    <row r="57" customFormat="false" ht="21.75" hidden="false" customHeight="true" outlineLevel="0" collapsed="false">
      <c r="A57" s="18" t="str">
        <f aca="false">IF(E57="","",COUNTA(E$15:E57))</f>
        <v/>
      </c>
      <c r="B57" s="19"/>
      <c r="C57" s="19"/>
      <c r="D57" s="19"/>
      <c r="E57" s="19"/>
      <c r="F57" s="19"/>
      <c r="G57" s="19"/>
      <c r="H57" s="20"/>
      <c r="I57" s="19"/>
      <c r="J57" s="19"/>
    </row>
    <row r="58" customFormat="false" ht="21.75" hidden="false" customHeight="true" outlineLevel="0" collapsed="false">
      <c r="A58" s="18" t="str">
        <f aca="false">IF(E58="","",COUNTA(E$15:E58))</f>
        <v/>
      </c>
      <c r="B58" s="19"/>
      <c r="C58" s="19"/>
      <c r="D58" s="19"/>
      <c r="E58" s="19"/>
      <c r="F58" s="19"/>
      <c r="G58" s="19"/>
      <c r="H58" s="20"/>
      <c r="I58" s="19"/>
      <c r="J58" s="19"/>
    </row>
    <row r="59" customFormat="false" ht="21.75" hidden="false" customHeight="true" outlineLevel="0" collapsed="false">
      <c r="A59" s="18" t="str">
        <f aca="false">IF(E59="","",COUNTA(E$15:E59))</f>
        <v/>
      </c>
      <c r="B59" s="19"/>
      <c r="C59" s="19"/>
      <c r="D59" s="19"/>
      <c r="E59" s="19"/>
      <c r="F59" s="19"/>
      <c r="G59" s="19"/>
      <c r="H59" s="20"/>
      <c r="I59" s="19"/>
      <c r="J59" s="19"/>
    </row>
    <row r="60" customFormat="false" ht="21.75" hidden="false" customHeight="true" outlineLevel="0" collapsed="false">
      <c r="A60" s="18" t="str">
        <f aca="false">IF(E60="","",COUNTA(E$15:E60))</f>
        <v/>
      </c>
      <c r="B60" s="19"/>
      <c r="C60" s="19"/>
      <c r="D60" s="19"/>
      <c r="E60" s="19"/>
      <c r="F60" s="19"/>
      <c r="G60" s="19"/>
      <c r="H60" s="20"/>
      <c r="I60" s="19"/>
      <c r="J60" s="19"/>
    </row>
    <row r="61" customFormat="false" ht="21.75" hidden="false" customHeight="true" outlineLevel="0" collapsed="false">
      <c r="A61" s="18" t="str">
        <f aca="false">IF(E61="","",COUNTA(E$15:E61))</f>
        <v/>
      </c>
      <c r="B61" s="19"/>
      <c r="C61" s="19"/>
      <c r="D61" s="19"/>
      <c r="E61" s="19"/>
      <c r="F61" s="19"/>
      <c r="G61" s="19"/>
      <c r="H61" s="20"/>
      <c r="I61" s="19"/>
      <c r="J61" s="19"/>
    </row>
    <row r="62" customFormat="false" ht="21.75" hidden="false" customHeight="true" outlineLevel="0" collapsed="false">
      <c r="A62" s="18" t="str">
        <f aca="false">IF(E62="","",COUNTA(E$15:E62))</f>
        <v/>
      </c>
      <c r="B62" s="19"/>
      <c r="C62" s="19"/>
      <c r="D62" s="19"/>
      <c r="E62" s="19"/>
      <c r="F62" s="19"/>
      <c r="G62" s="19"/>
      <c r="H62" s="20"/>
      <c r="I62" s="19"/>
      <c r="J62" s="19"/>
    </row>
    <row r="63" customFormat="false" ht="21.75" hidden="false" customHeight="true" outlineLevel="0" collapsed="false">
      <c r="A63" s="18" t="str">
        <f aca="false">IF(E63="","",COUNTA(E$15:E63))</f>
        <v/>
      </c>
      <c r="B63" s="19"/>
      <c r="C63" s="19"/>
      <c r="D63" s="19"/>
      <c r="E63" s="19"/>
      <c r="F63" s="19"/>
      <c r="G63" s="19"/>
      <c r="H63" s="20"/>
      <c r="I63" s="19"/>
      <c r="J63" s="19"/>
    </row>
    <row r="64" customFormat="false" ht="21.75" hidden="false" customHeight="true" outlineLevel="0" collapsed="false">
      <c r="A64" s="18" t="str">
        <f aca="false">IF(E64="","",COUNTA(E$15:E64))</f>
        <v/>
      </c>
      <c r="B64" s="19"/>
      <c r="C64" s="19"/>
      <c r="D64" s="19"/>
      <c r="E64" s="19"/>
      <c r="F64" s="19"/>
      <c r="G64" s="19"/>
      <c r="H64" s="20"/>
      <c r="I64" s="19"/>
      <c r="J64" s="19"/>
    </row>
    <row r="65" customFormat="false" ht="21.75" hidden="false" customHeight="true" outlineLevel="0" collapsed="false">
      <c r="A65" s="18" t="str">
        <f aca="false">IF(E65="","",COUNTA(E$15:E65))</f>
        <v/>
      </c>
      <c r="B65" s="19"/>
      <c r="C65" s="19"/>
      <c r="D65" s="19"/>
      <c r="E65" s="19"/>
      <c r="F65" s="19"/>
      <c r="G65" s="19"/>
      <c r="H65" s="20"/>
      <c r="I65" s="19"/>
      <c r="J65" s="19"/>
    </row>
    <row r="66" customFormat="false" ht="21.75" hidden="false" customHeight="true" outlineLevel="0" collapsed="false">
      <c r="A66" s="18" t="str">
        <f aca="false">IF(E66="","",COUNTA(E$15:E66))</f>
        <v/>
      </c>
      <c r="B66" s="19"/>
      <c r="C66" s="19"/>
      <c r="D66" s="19"/>
      <c r="E66" s="19"/>
      <c r="F66" s="19"/>
      <c r="G66" s="19"/>
      <c r="H66" s="20"/>
      <c r="I66" s="19"/>
      <c r="J66" s="19"/>
    </row>
    <row r="67" customFormat="false" ht="21.75" hidden="false" customHeight="true" outlineLevel="0" collapsed="false">
      <c r="A67" s="18" t="str">
        <f aca="false">IF(E67="","",COUNTA(E$15:E67))</f>
        <v/>
      </c>
      <c r="B67" s="19"/>
      <c r="C67" s="19"/>
      <c r="D67" s="19"/>
      <c r="E67" s="19"/>
      <c r="F67" s="19"/>
      <c r="G67" s="19"/>
      <c r="H67" s="20"/>
      <c r="I67" s="19"/>
      <c r="J67" s="19"/>
    </row>
    <row r="68" customFormat="false" ht="21.75" hidden="false" customHeight="true" outlineLevel="0" collapsed="false">
      <c r="A68" s="18" t="str">
        <f aca="false">IF(E68="","",COUNTA(E$15:E68))</f>
        <v/>
      </c>
      <c r="B68" s="19"/>
      <c r="C68" s="19"/>
      <c r="D68" s="19"/>
      <c r="E68" s="19"/>
      <c r="F68" s="19"/>
      <c r="G68" s="19"/>
      <c r="H68" s="20"/>
      <c r="I68" s="19"/>
      <c r="J68" s="19"/>
    </row>
    <row r="69" customFormat="false" ht="21.75" hidden="false" customHeight="true" outlineLevel="0" collapsed="false">
      <c r="A69" s="18" t="str">
        <f aca="false">IF(E69="","",COUNTA(E$15:E69))</f>
        <v/>
      </c>
      <c r="B69" s="19"/>
      <c r="C69" s="19"/>
      <c r="D69" s="19"/>
      <c r="E69" s="19"/>
      <c r="F69" s="19"/>
      <c r="G69" s="19"/>
      <c r="H69" s="20"/>
      <c r="I69" s="19"/>
      <c r="J69" s="19"/>
    </row>
    <row r="70" customFormat="false" ht="21.75" hidden="false" customHeight="true" outlineLevel="0" collapsed="false">
      <c r="A70" s="18" t="str">
        <f aca="false">IF(E70="","",COUNTA(E$15:E70))</f>
        <v/>
      </c>
      <c r="B70" s="19"/>
      <c r="C70" s="19"/>
      <c r="D70" s="19"/>
      <c r="E70" s="19"/>
      <c r="F70" s="19"/>
      <c r="G70" s="19"/>
      <c r="H70" s="20"/>
      <c r="I70" s="19"/>
      <c r="J70" s="19"/>
    </row>
    <row r="71" customFormat="false" ht="21.75" hidden="false" customHeight="true" outlineLevel="0" collapsed="false">
      <c r="A71" s="18" t="str">
        <f aca="false">IF(E71="","",COUNTA(E$15:E71))</f>
        <v/>
      </c>
      <c r="B71" s="19"/>
      <c r="C71" s="19"/>
      <c r="D71" s="19"/>
      <c r="E71" s="19"/>
      <c r="F71" s="19"/>
      <c r="G71" s="19"/>
      <c r="H71" s="20"/>
      <c r="I71" s="19"/>
      <c r="J71" s="19"/>
    </row>
    <row r="72" customFormat="false" ht="21.75" hidden="false" customHeight="true" outlineLevel="0" collapsed="false">
      <c r="A72" s="18" t="str">
        <f aca="false">IF(E72="","",COUNTA(E$15:E72))</f>
        <v/>
      </c>
      <c r="B72" s="19"/>
      <c r="C72" s="19"/>
      <c r="D72" s="19"/>
      <c r="E72" s="19"/>
      <c r="F72" s="19"/>
      <c r="G72" s="19"/>
      <c r="H72" s="20"/>
      <c r="I72" s="19"/>
      <c r="J72" s="19"/>
    </row>
    <row r="73" customFormat="false" ht="21.75" hidden="false" customHeight="true" outlineLevel="0" collapsed="false">
      <c r="A73" s="18" t="str">
        <f aca="false">IF(E73="","",COUNTA(E$15:E73))</f>
        <v/>
      </c>
      <c r="B73" s="19"/>
      <c r="C73" s="19"/>
      <c r="D73" s="19"/>
      <c r="E73" s="19"/>
      <c r="F73" s="19"/>
      <c r="G73" s="19"/>
      <c r="H73" s="20"/>
      <c r="I73" s="19"/>
      <c r="J73" s="19"/>
    </row>
    <row r="74" customFormat="false" ht="21.75" hidden="false" customHeight="true" outlineLevel="0" collapsed="false">
      <c r="A74" s="18" t="str">
        <f aca="false">IF(E74="","",COUNTA(E$15:E74))</f>
        <v/>
      </c>
      <c r="B74" s="19"/>
      <c r="C74" s="19"/>
      <c r="D74" s="19"/>
      <c r="E74" s="19"/>
      <c r="F74" s="19"/>
      <c r="G74" s="19"/>
      <c r="H74" s="20"/>
      <c r="I74" s="19"/>
      <c r="J74" s="19"/>
    </row>
    <row r="75" customFormat="false" ht="21.75" hidden="false" customHeight="true" outlineLevel="0" collapsed="false">
      <c r="A75" s="18" t="str">
        <f aca="false">IF(E75="","",COUNTA(E$15:E75))</f>
        <v/>
      </c>
      <c r="B75" s="19"/>
      <c r="C75" s="19"/>
      <c r="D75" s="19"/>
      <c r="E75" s="19"/>
      <c r="F75" s="19"/>
      <c r="G75" s="19"/>
      <c r="H75" s="20"/>
      <c r="I75" s="19"/>
      <c r="J75" s="19"/>
    </row>
    <row r="76" customFormat="false" ht="21.75" hidden="false" customHeight="true" outlineLevel="0" collapsed="false">
      <c r="A76" s="18" t="str">
        <f aca="false">IF(E76="","",COUNTA(E$15:E76))</f>
        <v/>
      </c>
      <c r="B76" s="19"/>
      <c r="C76" s="19"/>
      <c r="D76" s="19"/>
      <c r="E76" s="19"/>
      <c r="F76" s="19"/>
      <c r="G76" s="19"/>
      <c r="H76" s="20"/>
      <c r="I76" s="19"/>
      <c r="J76" s="19"/>
    </row>
    <row r="77" customFormat="false" ht="21.75" hidden="false" customHeight="true" outlineLevel="0" collapsed="false">
      <c r="A77" s="18" t="str">
        <f aca="false">IF(E77="","",COUNTA(E$15:E77))</f>
        <v/>
      </c>
      <c r="B77" s="19"/>
      <c r="C77" s="19"/>
      <c r="D77" s="19"/>
      <c r="E77" s="19"/>
      <c r="F77" s="19"/>
      <c r="G77" s="19"/>
      <c r="H77" s="20"/>
      <c r="I77" s="19"/>
      <c r="J77" s="19"/>
    </row>
    <row r="78" customFormat="false" ht="21.75" hidden="false" customHeight="true" outlineLevel="0" collapsed="false">
      <c r="A78" s="18" t="str">
        <f aca="false">IF(E78="","",COUNTA(E$15:E78))</f>
        <v/>
      </c>
      <c r="B78" s="19"/>
      <c r="C78" s="19"/>
      <c r="D78" s="19"/>
      <c r="E78" s="19"/>
      <c r="F78" s="19"/>
      <c r="G78" s="19"/>
      <c r="H78" s="20"/>
      <c r="I78" s="19"/>
      <c r="J78" s="19"/>
    </row>
    <row r="79" customFormat="false" ht="21.75" hidden="false" customHeight="true" outlineLevel="0" collapsed="false">
      <c r="A79" s="18" t="str">
        <f aca="false">IF(E79="","",COUNTA(E$15:E79))</f>
        <v/>
      </c>
      <c r="B79" s="19"/>
      <c r="C79" s="19"/>
      <c r="D79" s="19"/>
      <c r="E79" s="19"/>
      <c r="F79" s="19"/>
      <c r="G79" s="19"/>
      <c r="H79" s="20"/>
      <c r="I79" s="19"/>
      <c r="J79" s="19"/>
    </row>
    <row r="80" customFormat="false" ht="21.75" hidden="false" customHeight="true" outlineLevel="0" collapsed="false">
      <c r="A80" s="18" t="str">
        <f aca="false">IF(E80="","",COUNTA(E$15:E80))</f>
        <v/>
      </c>
      <c r="B80" s="19"/>
      <c r="C80" s="19"/>
      <c r="D80" s="19"/>
      <c r="E80" s="19"/>
      <c r="F80" s="19"/>
      <c r="G80" s="19"/>
      <c r="H80" s="20"/>
      <c r="I80" s="19"/>
      <c r="J80" s="19"/>
    </row>
    <row r="82" customFormat="false" ht="30" hidden="false" customHeight="true" outlineLevel="0" collapsed="false">
      <c r="A82" s="21" t="s">
        <v>36</v>
      </c>
      <c r="B82" s="21"/>
      <c r="C82" s="21"/>
      <c r="D82" s="21"/>
      <c r="E82" s="21"/>
      <c r="F82" s="21"/>
      <c r="G82" s="21"/>
      <c r="H82" s="21"/>
      <c r="I82" s="21"/>
      <c r="J82" s="21"/>
    </row>
  </sheetData>
  <mergeCells count="22">
    <mergeCell ref="A1:J1"/>
    <mergeCell ref="A2:J2"/>
    <mergeCell ref="A3:J3"/>
    <mergeCell ref="A5:C5"/>
    <mergeCell ref="D5:E5"/>
    <mergeCell ref="F5:J5"/>
    <mergeCell ref="A6:C6"/>
    <mergeCell ref="D6:E6"/>
    <mergeCell ref="F6:J6"/>
    <mergeCell ref="A7:C7"/>
    <mergeCell ref="D7:E7"/>
    <mergeCell ref="F7:J7"/>
    <mergeCell ref="A8:C8"/>
    <mergeCell ref="D8:E8"/>
    <mergeCell ref="F8:J8"/>
    <mergeCell ref="A9:C9"/>
    <mergeCell ref="D9:E9"/>
    <mergeCell ref="F9:J9"/>
    <mergeCell ref="A10:C10"/>
    <mergeCell ref="D10:E10"/>
    <mergeCell ref="F10:J10"/>
    <mergeCell ref="A82:J82"/>
  </mergeCells>
  <dataValidations count="4">
    <dataValidation allowBlank="true" errorStyle="stop" operator="between" showDropDown="false" showErrorMessage="false" showInputMessage="false" sqref="B14:B80" type="list">
      <formula1>"2026,2025"</formula1>
      <formula2>0</formula2>
    </dataValidation>
    <dataValidation allowBlank="true" errorStyle="stop" operator="between" showDropDown="false" showErrorMessage="false" showInputMessage="false" sqref="C14:C80" type="list">
      <formula1>"지역회의형,주민자치회형,군민참여형,아동·청소년참여형,주민주도 보조사업형,기타"</formula1>
      <formula2>0</formula2>
    </dataValidation>
    <dataValidation allowBlank="true" errorStyle="stop" operator="between" showDropDown="false" showErrorMessage="false" showInputMessage="false" sqref="G14:G80" type="list">
      <formula1>"본예산,1회추경,2회추경,3회추경"</formula1>
      <formula2>0</formula2>
    </dataValidation>
    <dataValidation allowBlank="true" errorStyle="stop" operator="between" showDropDown="false" showErrorMessage="false" showInputMessage="false" sqref="I14:I80" type="list">
      <formula1>"포함,제외"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9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40"/>
    <col collapsed="false" customWidth="true" hidden="false" outlineLevel="0" max="8" min="8" style="0" width="24"/>
    <col collapsed="false" customWidth="true" hidden="false" outlineLevel="0" max="9" min="9" style="0" width="16"/>
  </cols>
  <sheetData>
    <row r="1" customFormat="false" ht="19.4" hidden="false" customHeight="fals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</row>
    <row r="2" customFormat="false" ht="54" hidden="false" customHeight="true" outlineLevel="0" collapsed="false">
      <c r="A2" s="2" t="s">
        <v>38</v>
      </c>
      <c r="B2" s="2"/>
      <c r="C2" s="2"/>
      <c r="D2" s="2"/>
      <c r="E2" s="2"/>
      <c r="F2" s="2"/>
      <c r="G2" s="2"/>
      <c r="H2" s="2"/>
      <c r="I2" s="2"/>
    </row>
    <row r="3" customFormat="false" ht="13.4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30" hidden="false" customHeight="true" outlineLevel="0" collapsed="false">
      <c r="A5" s="4" t="s">
        <v>17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  <c r="I5" s="4" t="s">
        <v>46</v>
      </c>
    </row>
    <row r="6" customFormat="false" ht="21.75" hidden="false" customHeight="true" outlineLevel="0" collapsed="false">
      <c r="A6" s="14" t="s">
        <v>27</v>
      </c>
      <c r="B6" s="16" t="s">
        <v>47</v>
      </c>
      <c r="C6" s="16" t="s">
        <v>48</v>
      </c>
      <c r="D6" s="15" t="s">
        <v>49</v>
      </c>
      <c r="E6" s="16" t="s">
        <v>50</v>
      </c>
      <c r="F6" s="16" t="n">
        <v>11</v>
      </c>
      <c r="G6" s="15" t="s">
        <v>51</v>
      </c>
      <c r="H6" s="15" t="s">
        <v>52</v>
      </c>
      <c r="I6" s="16" t="s">
        <v>53</v>
      </c>
    </row>
    <row r="7" customFormat="false" ht="21.75" hidden="false" customHeight="true" outlineLevel="0" collapsed="false">
      <c r="A7" s="18" t="str">
        <f aca="false">IF(D7="","",COUNTA(D$7:D7))</f>
        <v/>
      </c>
      <c r="B7" s="22" t="s">
        <v>54</v>
      </c>
      <c r="C7" s="22" t="s">
        <v>55</v>
      </c>
      <c r="D7" s="23"/>
      <c r="E7" s="19"/>
      <c r="F7" s="19"/>
      <c r="G7" s="19"/>
      <c r="H7" s="19"/>
      <c r="I7" s="19"/>
    </row>
    <row r="8" customFormat="false" ht="21.75" hidden="false" customHeight="true" outlineLevel="0" collapsed="false">
      <c r="A8" s="18" t="str">
        <f aca="false">IF(D8="","",COUNTA(D$7:D8))</f>
        <v/>
      </c>
      <c r="B8" s="22" t="s">
        <v>54</v>
      </c>
      <c r="C8" s="22" t="s">
        <v>55</v>
      </c>
      <c r="D8" s="23"/>
      <c r="E8" s="19"/>
      <c r="F8" s="19"/>
      <c r="G8" s="19"/>
      <c r="H8" s="19"/>
      <c r="I8" s="19"/>
    </row>
    <row r="9" customFormat="false" ht="21.75" hidden="false" customHeight="true" outlineLevel="0" collapsed="false">
      <c r="A9" s="18" t="str">
        <f aca="false">IF(D9="","",COUNTA(D$7:D9))</f>
        <v/>
      </c>
      <c r="B9" s="22" t="s">
        <v>54</v>
      </c>
      <c r="C9" s="22" t="s">
        <v>55</v>
      </c>
      <c r="D9" s="23"/>
      <c r="E9" s="19"/>
      <c r="F9" s="19"/>
      <c r="G9" s="19"/>
      <c r="H9" s="19"/>
      <c r="I9" s="19"/>
    </row>
    <row r="10" customFormat="false" ht="21.75" hidden="false" customHeight="true" outlineLevel="0" collapsed="false">
      <c r="A10" s="18" t="str">
        <f aca="false">IF(D10="","",COUNTA(D$7:D10))</f>
        <v/>
      </c>
      <c r="B10" s="22" t="s">
        <v>47</v>
      </c>
      <c r="C10" s="22" t="s">
        <v>48</v>
      </c>
      <c r="D10" s="23"/>
      <c r="E10" s="19"/>
      <c r="F10" s="19"/>
      <c r="G10" s="19"/>
      <c r="H10" s="19"/>
      <c r="I10" s="19"/>
    </row>
    <row r="11" customFormat="false" ht="21.75" hidden="false" customHeight="true" outlineLevel="0" collapsed="false">
      <c r="A11" s="18" t="str">
        <f aca="false">IF(D11="","",COUNTA(D$7:D11))</f>
        <v/>
      </c>
      <c r="B11" s="22" t="s">
        <v>47</v>
      </c>
      <c r="C11" s="22" t="s">
        <v>56</v>
      </c>
      <c r="D11" s="23"/>
      <c r="E11" s="19"/>
      <c r="F11" s="19"/>
      <c r="G11" s="19"/>
      <c r="H11" s="19"/>
      <c r="I11" s="19"/>
    </row>
    <row r="12" customFormat="false" ht="21.75" hidden="false" customHeight="true" outlineLevel="0" collapsed="false">
      <c r="A12" s="18" t="str">
        <f aca="false">IF(D12="","",COUNTA(D$7:D12))</f>
        <v/>
      </c>
      <c r="B12" s="22" t="s">
        <v>47</v>
      </c>
      <c r="C12" s="22" t="s">
        <v>57</v>
      </c>
      <c r="D12" s="23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18" t="str">
        <f aca="false">IF(D13="","",COUNTA(D$7:D13))</f>
        <v/>
      </c>
      <c r="B13" s="22" t="s">
        <v>58</v>
      </c>
      <c r="C13" s="22" t="s">
        <v>30</v>
      </c>
      <c r="D13" s="23"/>
      <c r="E13" s="19"/>
      <c r="F13" s="19"/>
      <c r="G13" s="19"/>
      <c r="H13" s="19"/>
      <c r="I13" s="19"/>
    </row>
    <row r="14" customFormat="false" ht="21.75" hidden="false" customHeight="true" outlineLevel="0" collapsed="false">
      <c r="A14" s="18" t="str">
        <f aca="false">IF(D14="","",COUNTA(D$7:D14))</f>
        <v/>
      </c>
      <c r="B14" s="22" t="s">
        <v>58</v>
      </c>
      <c r="C14" s="22" t="s">
        <v>59</v>
      </c>
      <c r="D14" s="23"/>
      <c r="E14" s="19"/>
      <c r="F14" s="19"/>
      <c r="G14" s="19"/>
      <c r="H14" s="19"/>
      <c r="I14" s="19"/>
    </row>
    <row r="15" customFormat="false" ht="21.75" hidden="false" customHeight="true" outlineLevel="0" collapsed="false">
      <c r="A15" s="18" t="str">
        <f aca="false">IF(D15="","",COUNTA(D$7:D15))</f>
        <v/>
      </c>
      <c r="B15" s="22" t="s">
        <v>58</v>
      </c>
      <c r="C15" s="22" t="s">
        <v>60</v>
      </c>
      <c r="D15" s="23"/>
      <c r="E15" s="19"/>
      <c r="F15" s="19"/>
      <c r="G15" s="19"/>
      <c r="H15" s="19"/>
      <c r="I15" s="19"/>
    </row>
    <row r="16" customFormat="false" ht="21.75" hidden="false" customHeight="true" outlineLevel="0" collapsed="false">
      <c r="A16" s="18" t="str">
        <f aca="false">IF(D16="","",COUNTA(D$7:D16))</f>
        <v/>
      </c>
      <c r="B16" s="22" t="s">
        <v>58</v>
      </c>
      <c r="C16" s="22" t="s">
        <v>61</v>
      </c>
      <c r="D16" s="23"/>
      <c r="E16" s="19"/>
      <c r="F16" s="19"/>
      <c r="G16" s="19"/>
      <c r="H16" s="19"/>
      <c r="I16" s="19"/>
    </row>
    <row r="17" customFormat="false" ht="21.75" hidden="false" customHeight="true" outlineLevel="0" collapsed="false">
      <c r="A17" s="18" t="str">
        <f aca="false">IF(D17="","",COUNTA(D$7:D17))</f>
        <v/>
      </c>
      <c r="B17" s="22" t="s">
        <v>58</v>
      </c>
      <c r="C17" s="22" t="s">
        <v>62</v>
      </c>
      <c r="D17" s="23"/>
      <c r="E17" s="19"/>
      <c r="F17" s="19"/>
      <c r="G17" s="19"/>
      <c r="H17" s="19"/>
      <c r="I17" s="19"/>
    </row>
    <row r="18" customFormat="false" ht="21.75" hidden="false" customHeight="true" outlineLevel="0" collapsed="false">
      <c r="A18" s="18" t="str">
        <f aca="false">IF(D18="","",COUNTA(D$7:D18))</f>
        <v/>
      </c>
      <c r="B18" s="22" t="s">
        <v>58</v>
      </c>
      <c r="C18" s="22" t="s">
        <v>63</v>
      </c>
      <c r="D18" s="23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18" t="str">
        <f aca="false">IF(D19="","",COUNTA(D$7:D19))</f>
        <v/>
      </c>
      <c r="B19" s="22" t="s">
        <v>58</v>
      </c>
      <c r="C19" s="22" t="s">
        <v>64</v>
      </c>
      <c r="D19" s="23"/>
      <c r="E19" s="19"/>
      <c r="F19" s="19"/>
      <c r="G19" s="19"/>
      <c r="H19" s="19"/>
      <c r="I19" s="19"/>
    </row>
    <row r="20" customFormat="false" ht="21.75" hidden="false" customHeight="true" outlineLevel="0" collapsed="false">
      <c r="A20" s="18" t="str">
        <f aca="false">IF(D20="","",COUNTA(D$7:D20))</f>
        <v/>
      </c>
      <c r="B20" s="22" t="s">
        <v>58</v>
      </c>
      <c r="C20" s="22" t="s">
        <v>65</v>
      </c>
      <c r="D20" s="23"/>
      <c r="E20" s="19"/>
      <c r="F20" s="19"/>
      <c r="G20" s="19"/>
      <c r="H20" s="19"/>
      <c r="I20" s="19"/>
    </row>
    <row r="21" customFormat="false" ht="21.75" hidden="false" customHeight="true" outlineLevel="0" collapsed="false">
      <c r="A21" s="18" t="str">
        <f aca="false">IF(D21="","",COUNTA(D$7:D21))</f>
        <v/>
      </c>
      <c r="B21" s="22" t="s">
        <v>58</v>
      </c>
      <c r="C21" s="22" t="s">
        <v>66</v>
      </c>
      <c r="D21" s="23"/>
      <c r="E21" s="19"/>
      <c r="F21" s="19"/>
      <c r="G21" s="19"/>
      <c r="H21" s="19"/>
      <c r="I21" s="19"/>
    </row>
    <row r="22" customFormat="false" ht="21.75" hidden="false" customHeight="true" outlineLevel="0" collapsed="false">
      <c r="A22" s="18" t="str">
        <f aca="false">IF(D22="","",COUNTA(D$7:D22))</f>
        <v/>
      </c>
      <c r="B22" s="22"/>
      <c r="C22" s="19"/>
      <c r="D22" s="23"/>
      <c r="E22" s="19"/>
      <c r="F22" s="19"/>
      <c r="G22" s="19"/>
      <c r="H22" s="19"/>
      <c r="I22" s="19"/>
    </row>
    <row r="23" customFormat="false" ht="21.75" hidden="false" customHeight="true" outlineLevel="0" collapsed="false">
      <c r="A23" s="18" t="str">
        <f aca="false">IF(D23="","",COUNTA(D$7:D23))</f>
        <v/>
      </c>
      <c r="B23" s="22"/>
      <c r="C23" s="19"/>
      <c r="D23" s="23"/>
      <c r="E23" s="19"/>
      <c r="F23" s="19"/>
      <c r="G23" s="19"/>
      <c r="H23" s="19"/>
      <c r="I23" s="19"/>
    </row>
    <row r="24" customFormat="false" ht="21.75" hidden="false" customHeight="true" outlineLevel="0" collapsed="false">
      <c r="A24" s="18" t="str">
        <f aca="false">IF(D24="","",COUNTA(D$7:D24))</f>
        <v/>
      </c>
      <c r="B24" s="22"/>
      <c r="C24" s="19"/>
      <c r="D24" s="23"/>
      <c r="E24" s="19"/>
      <c r="F24" s="19"/>
      <c r="G24" s="19"/>
      <c r="H24" s="19"/>
      <c r="I24" s="19"/>
    </row>
    <row r="25" customFormat="false" ht="21.75" hidden="false" customHeight="true" outlineLevel="0" collapsed="false">
      <c r="A25" s="18" t="str">
        <f aca="false">IF(D25="","",COUNTA(D$7:D25))</f>
        <v/>
      </c>
      <c r="B25" s="22"/>
      <c r="C25" s="19"/>
      <c r="D25" s="23"/>
      <c r="E25" s="19"/>
      <c r="F25" s="19"/>
      <c r="G25" s="19"/>
      <c r="H25" s="19"/>
      <c r="I25" s="19"/>
    </row>
    <row r="26" customFormat="false" ht="21.75" hidden="false" customHeight="true" outlineLevel="0" collapsed="false">
      <c r="A26" s="18" t="str">
        <f aca="false">IF(D26="","",COUNTA(D$7:D26))</f>
        <v/>
      </c>
      <c r="B26" s="22"/>
      <c r="C26" s="19"/>
      <c r="D26" s="23"/>
      <c r="E26" s="19"/>
      <c r="F26" s="19"/>
      <c r="G26" s="19"/>
      <c r="H26" s="19"/>
      <c r="I26" s="19"/>
    </row>
    <row r="27" customFormat="false" ht="21.75" hidden="false" customHeight="true" outlineLevel="0" collapsed="false">
      <c r="A27" s="18" t="str">
        <f aca="false">IF(D27="","",COUNTA(D$7:D27))</f>
        <v/>
      </c>
      <c r="B27" s="22"/>
      <c r="C27" s="19"/>
      <c r="D27" s="23"/>
      <c r="E27" s="19"/>
      <c r="F27" s="19"/>
      <c r="G27" s="19"/>
      <c r="H27" s="19"/>
      <c r="I27" s="19"/>
    </row>
    <row r="28" customFormat="false" ht="21.75" hidden="false" customHeight="true" outlineLevel="0" collapsed="false">
      <c r="A28" s="18" t="str">
        <f aca="false">IF(D28="","",COUNTA(D$7:D28))</f>
        <v/>
      </c>
      <c r="B28" s="22"/>
      <c r="C28" s="19"/>
      <c r="D28" s="23"/>
      <c r="E28" s="19"/>
      <c r="F28" s="19"/>
      <c r="G28" s="19"/>
      <c r="H28" s="19"/>
      <c r="I28" s="19"/>
    </row>
    <row r="29" customFormat="false" ht="21.75" hidden="false" customHeight="true" outlineLevel="0" collapsed="false">
      <c r="A29" s="18" t="str">
        <f aca="false">IF(D29="","",COUNTA(D$7:D29))</f>
        <v/>
      </c>
      <c r="B29" s="22"/>
      <c r="C29" s="19"/>
      <c r="D29" s="23"/>
      <c r="E29" s="19"/>
      <c r="F29" s="19"/>
      <c r="G29" s="19"/>
      <c r="H29" s="19"/>
      <c r="I29" s="19"/>
    </row>
    <row r="30" customFormat="false" ht="21.75" hidden="false" customHeight="true" outlineLevel="0" collapsed="false">
      <c r="A30" s="18" t="str">
        <f aca="false">IF(D30="","",COUNTA(D$7:D30))</f>
        <v/>
      </c>
      <c r="B30" s="22"/>
      <c r="C30" s="19"/>
      <c r="D30" s="23"/>
      <c r="E30" s="19"/>
      <c r="F30" s="19"/>
      <c r="G30" s="19"/>
      <c r="H30" s="19"/>
      <c r="I30" s="19"/>
    </row>
    <row r="31" customFormat="false" ht="21.75" hidden="false" customHeight="true" outlineLevel="0" collapsed="false">
      <c r="A31" s="18" t="str">
        <f aca="false">IF(D31="","",COUNTA(D$7:D31))</f>
        <v/>
      </c>
      <c r="B31" s="22"/>
      <c r="C31" s="19"/>
      <c r="D31" s="23"/>
      <c r="E31" s="19"/>
      <c r="F31" s="19"/>
      <c r="G31" s="19"/>
      <c r="H31" s="19"/>
      <c r="I31" s="19"/>
    </row>
    <row r="32" customFormat="false" ht="21.75" hidden="false" customHeight="true" outlineLevel="0" collapsed="false">
      <c r="A32" s="18" t="str">
        <f aca="false">IF(D32="","",COUNTA(D$7:D32))</f>
        <v/>
      </c>
      <c r="B32" s="22"/>
      <c r="C32" s="19"/>
      <c r="D32" s="23"/>
      <c r="E32" s="19"/>
      <c r="F32" s="19"/>
      <c r="G32" s="19"/>
      <c r="H32" s="19"/>
      <c r="I32" s="19"/>
    </row>
    <row r="33" customFormat="false" ht="21.75" hidden="false" customHeight="true" outlineLevel="0" collapsed="false">
      <c r="A33" s="18" t="str">
        <f aca="false">IF(D33="","",COUNTA(D$7:D33))</f>
        <v/>
      </c>
      <c r="B33" s="22"/>
      <c r="C33" s="19"/>
      <c r="D33" s="23"/>
      <c r="E33" s="19"/>
      <c r="F33" s="19"/>
      <c r="G33" s="19"/>
      <c r="H33" s="19"/>
      <c r="I33" s="19"/>
    </row>
    <row r="34" customFormat="false" ht="21.75" hidden="false" customHeight="true" outlineLevel="0" collapsed="false">
      <c r="A34" s="18" t="str">
        <f aca="false">IF(D34="","",COUNTA(D$7:D34))</f>
        <v/>
      </c>
      <c r="B34" s="22"/>
      <c r="C34" s="19"/>
      <c r="D34" s="23"/>
      <c r="E34" s="19"/>
      <c r="F34" s="19"/>
      <c r="G34" s="19"/>
      <c r="H34" s="19"/>
      <c r="I34" s="19"/>
    </row>
    <row r="35" customFormat="false" ht="21.75" hidden="false" customHeight="true" outlineLevel="0" collapsed="false">
      <c r="A35" s="18" t="str">
        <f aca="false">IF(D35="","",COUNTA(D$7:D35))</f>
        <v/>
      </c>
      <c r="B35" s="22"/>
      <c r="C35" s="19"/>
      <c r="D35" s="23"/>
      <c r="E35" s="19"/>
      <c r="F35" s="19"/>
      <c r="G35" s="19"/>
      <c r="H35" s="19"/>
      <c r="I35" s="19"/>
    </row>
    <row r="36" customFormat="false" ht="21.75" hidden="false" customHeight="true" outlineLevel="0" collapsed="false">
      <c r="A36" s="18" t="str">
        <f aca="false">IF(D36="","",COUNTA(D$7:D36))</f>
        <v/>
      </c>
      <c r="B36" s="22"/>
      <c r="C36" s="19"/>
      <c r="D36" s="23"/>
      <c r="E36" s="19"/>
      <c r="F36" s="19"/>
      <c r="G36" s="19"/>
      <c r="H36" s="19"/>
      <c r="I36" s="19"/>
    </row>
    <row r="37" customFormat="false" ht="21.75" hidden="false" customHeight="true" outlineLevel="0" collapsed="false">
      <c r="A37" s="18" t="str">
        <f aca="false">IF(D37="","",COUNTA(D$7:D37))</f>
        <v/>
      </c>
      <c r="B37" s="22"/>
      <c r="C37" s="19"/>
      <c r="D37" s="23"/>
      <c r="E37" s="19"/>
      <c r="F37" s="19"/>
      <c r="G37" s="19"/>
      <c r="H37" s="19"/>
      <c r="I37" s="19"/>
    </row>
    <row r="39" customFormat="false" ht="15" hidden="false" customHeight="false" outlineLevel="0" collapsed="false">
      <c r="B39" s="12" t="s">
        <v>67</v>
      </c>
    </row>
    <row r="40" customFormat="false" ht="15" hidden="false" customHeight="false" outlineLevel="0" collapsed="false">
      <c r="B40" s="24" t="s">
        <v>54</v>
      </c>
      <c r="C40" s="25" t="n">
        <f aca="false">COUNTIFS(B7:B37,"참여예산주민위원회",D7:D37,"&lt;&gt;")</f>
        <v>0</v>
      </c>
    </row>
    <row r="41" customFormat="false" ht="15" hidden="false" customHeight="false" outlineLevel="0" collapsed="false">
      <c r="B41" s="24" t="s">
        <v>47</v>
      </c>
      <c r="C41" s="25" t="n">
        <f aca="false">COUNTIFS(B7:B37,"분과위원회",D7:D37,"&lt;&gt;")</f>
        <v>0</v>
      </c>
    </row>
    <row r="42" customFormat="false" ht="15" hidden="false" customHeight="false" outlineLevel="0" collapsed="false">
      <c r="B42" s="24" t="s">
        <v>58</v>
      </c>
      <c r="C42" s="25" t="n">
        <f aca="false">COUNTIFS(B7:B37,"지역회의",D7:D37,"&lt;&gt;")</f>
        <v>0</v>
      </c>
    </row>
    <row r="43" customFormat="false" ht="15" hidden="false" customHeight="false" outlineLevel="0" collapsed="false">
      <c r="B43" s="24" t="s">
        <v>68</v>
      </c>
      <c r="C43" s="25" t="n">
        <f aca="false">COUNTA(D7:D37)-SUM(C40:C42)</f>
        <v>0</v>
      </c>
    </row>
    <row r="44" customFormat="false" ht="15" hidden="false" customHeight="false" outlineLevel="0" collapsed="false">
      <c r="B44" s="24" t="s">
        <v>69</v>
      </c>
      <c r="C44" s="26" t="n">
        <f aca="false">SUM(C40:C43)</f>
        <v>0</v>
      </c>
    </row>
    <row r="45" customFormat="false" ht="15" hidden="false" customHeight="false" outlineLevel="0" collapsed="false">
      <c r="B45" s="24" t="s">
        <v>70</v>
      </c>
      <c r="C45" s="26" t="n">
        <f aca="false">IF(C44&gt;20,3,IF(C44&gt;=11,2,IF(C44&gt;=5,1,0)))</f>
        <v>0</v>
      </c>
    </row>
  </sheetData>
  <mergeCells count="3">
    <mergeCell ref="A1:I1"/>
    <mergeCell ref="A2:I2"/>
    <mergeCell ref="A3:I3"/>
  </mergeCells>
  <dataValidations count="1">
    <dataValidation allowBlank="true" errorStyle="stop" operator="between" showDropDown="false" showErrorMessage="false" showInputMessage="false" sqref="B7:B37" type="list">
      <formula1>"참여예산주민위원회,분과위원회,지역회의,운영위원회,연구회,기타 지원조직"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9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0" min="10" style="0" width="22"/>
    <col collapsed="false" customWidth="true" hidden="false" outlineLevel="0" max="11" min="11" style="0" width="12"/>
  </cols>
  <sheetData>
    <row r="1" customFormat="false" ht="19.4" hidden="false" customHeight="fals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54" hidden="false" customHeight="true" outlineLevel="0" collapsed="false">
      <c r="A2" s="27" t="s">
        <v>72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customFormat="false" ht="13.4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30" hidden="false" customHeight="true" outlineLevel="0" collapsed="false">
      <c r="A5" s="4" t="s">
        <v>17</v>
      </c>
      <c r="B5" s="4" t="s">
        <v>73</v>
      </c>
      <c r="C5" s="4" t="s">
        <v>74</v>
      </c>
      <c r="D5" s="4" t="s">
        <v>75</v>
      </c>
      <c r="E5" s="4" t="s">
        <v>76</v>
      </c>
      <c r="F5" s="4" t="s">
        <v>77</v>
      </c>
      <c r="G5" s="4" t="s">
        <v>78</v>
      </c>
      <c r="H5" s="4" t="s">
        <v>43</v>
      </c>
      <c r="I5" s="4" t="s">
        <v>79</v>
      </c>
      <c r="J5" s="4" t="s">
        <v>45</v>
      </c>
      <c r="K5" s="4" t="s">
        <v>5</v>
      </c>
    </row>
    <row r="6" customFormat="false" ht="21.75" hidden="false" customHeight="true" outlineLevel="0" collapsed="false">
      <c r="A6" s="14" t="s">
        <v>27</v>
      </c>
      <c r="B6" s="16" t="s">
        <v>54</v>
      </c>
      <c r="C6" s="15" t="s">
        <v>80</v>
      </c>
      <c r="D6" s="15" t="s">
        <v>81</v>
      </c>
      <c r="E6" s="16" t="n">
        <v>2</v>
      </c>
      <c r="F6" s="16" t="s">
        <v>82</v>
      </c>
      <c r="G6" s="16" t="s">
        <v>83</v>
      </c>
      <c r="H6" s="16" t="n">
        <v>30</v>
      </c>
      <c r="I6" s="15" t="s">
        <v>84</v>
      </c>
      <c r="J6" s="15" t="s">
        <v>85</v>
      </c>
      <c r="K6" s="16"/>
    </row>
    <row r="7" customFormat="false" ht="21.75" hidden="false" customHeight="true" outlineLevel="0" collapsed="false">
      <c r="A7" s="18" t="str">
        <f aca="false">IF(C7="","",COUNTA(C$7:C7))</f>
        <v/>
      </c>
      <c r="B7" s="19"/>
      <c r="C7" s="19"/>
      <c r="D7" s="23"/>
      <c r="E7" s="28"/>
      <c r="F7" s="19"/>
      <c r="G7" s="19"/>
      <c r="H7" s="19"/>
      <c r="I7" s="19"/>
      <c r="J7" s="19"/>
      <c r="K7" s="19"/>
    </row>
    <row r="8" customFormat="false" ht="21.75" hidden="false" customHeight="true" outlineLevel="0" collapsed="false">
      <c r="A8" s="18" t="str">
        <f aca="false">IF(C8="","",COUNTA(C$7:C8))</f>
        <v/>
      </c>
      <c r="B8" s="19"/>
      <c r="C8" s="19"/>
      <c r="D8" s="23"/>
      <c r="E8" s="28"/>
      <c r="F8" s="19"/>
      <c r="G8" s="19"/>
      <c r="H8" s="19"/>
      <c r="I8" s="19"/>
      <c r="J8" s="19"/>
      <c r="K8" s="19"/>
    </row>
    <row r="9" customFormat="false" ht="21.75" hidden="false" customHeight="true" outlineLevel="0" collapsed="false">
      <c r="A9" s="18" t="str">
        <f aca="false">IF(C9="","",COUNTA(C$7:C9))</f>
        <v/>
      </c>
      <c r="B9" s="19"/>
      <c r="C9" s="19"/>
      <c r="D9" s="23"/>
      <c r="E9" s="28"/>
      <c r="F9" s="19"/>
      <c r="G9" s="19"/>
      <c r="H9" s="19"/>
      <c r="I9" s="19"/>
      <c r="J9" s="19"/>
      <c r="K9" s="19"/>
    </row>
    <row r="10" customFormat="false" ht="21.75" hidden="false" customHeight="true" outlineLevel="0" collapsed="false">
      <c r="A10" s="18" t="str">
        <f aca="false">IF(C10="","",COUNTA(C$7:C10))</f>
        <v/>
      </c>
      <c r="B10" s="19"/>
      <c r="C10" s="19"/>
      <c r="D10" s="23"/>
      <c r="E10" s="28"/>
      <c r="F10" s="19"/>
      <c r="G10" s="19"/>
      <c r="H10" s="19"/>
      <c r="I10" s="19"/>
      <c r="J10" s="19"/>
      <c r="K10" s="19"/>
    </row>
    <row r="11" customFormat="false" ht="21.75" hidden="false" customHeight="true" outlineLevel="0" collapsed="false">
      <c r="A11" s="18" t="str">
        <f aca="false">IF(C11="","",COUNTA(C$7:C11))</f>
        <v/>
      </c>
      <c r="B11" s="19"/>
      <c r="C11" s="19"/>
      <c r="D11" s="23"/>
      <c r="E11" s="28"/>
      <c r="F11" s="19"/>
      <c r="G11" s="19"/>
      <c r="H11" s="19"/>
      <c r="I11" s="19"/>
      <c r="J11" s="19"/>
      <c r="K11" s="19"/>
    </row>
    <row r="12" customFormat="false" ht="21.75" hidden="false" customHeight="true" outlineLevel="0" collapsed="false">
      <c r="A12" s="18" t="str">
        <f aca="false">IF(C12="","",COUNTA(C$7:C12))</f>
        <v/>
      </c>
      <c r="B12" s="19"/>
      <c r="C12" s="19"/>
      <c r="D12" s="23"/>
      <c r="E12" s="28"/>
      <c r="F12" s="19"/>
      <c r="G12" s="19"/>
      <c r="H12" s="19"/>
      <c r="I12" s="19"/>
      <c r="J12" s="19"/>
      <c r="K12" s="19"/>
    </row>
    <row r="13" customFormat="false" ht="21.75" hidden="false" customHeight="true" outlineLevel="0" collapsed="false">
      <c r="A13" s="18" t="str">
        <f aca="false">IF(C13="","",COUNTA(C$7:C13))</f>
        <v/>
      </c>
      <c r="B13" s="19"/>
      <c r="C13" s="19"/>
      <c r="D13" s="23"/>
      <c r="E13" s="28"/>
      <c r="F13" s="19"/>
      <c r="G13" s="19"/>
      <c r="H13" s="19"/>
      <c r="I13" s="19"/>
      <c r="J13" s="19"/>
      <c r="K13" s="19"/>
    </row>
    <row r="14" customFormat="false" ht="21.75" hidden="false" customHeight="true" outlineLevel="0" collapsed="false">
      <c r="A14" s="18" t="str">
        <f aca="false">IF(C14="","",COUNTA(C$7:C14))</f>
        <v/>
      </c>
      <c r="B14" s="19"/>
      <c r="C14" s="19"/>
      <c r="D14" s="23"/>
      <c r="E14" s="28"/>
      <c r="F14" s="19"/>
      <c r="G14" s="19"/>
      <c r="H14" s="19"/>
      <c r="I14" s="19"/>
      <c r="J14" s="19"/>
      <c r="K14" s="19"/>
    </row>
    <row r="15" customFormat="false" ht="21.75" hidden="false" customHeight="true" outlineLevel="0" collapsed="false">
      <c r="A15" s="18" t="str">
        <f aca="false">IF(C15="","",COUNTA(C$7:C15))</f>
        <v/>
      </c>
      <c r="B15" s="19"/>
      <c r="C15" s="19"/>
      <c r="D15" s="23"/>
      <c r="E15" s="28"/>
      <c r="F15" s="19"/>
      <c r="G15" s="19"/>
      <c r="H15" s="19"/>
      <c r="I15" s="19"/>
      <c r="J15" s="19"/>
      <c r="K15" s="19"/>
    </row>
    <row r="16" customFormat="false" ht="21.75" hidden="false" customHeight="true" outlineLevel="0" collapsed="false">
      <c r="A16" s="18" t="str">
        <f aca="false">IF(C16="","",COUNTA(C$7:C16))</f>
        <v/>
      </c>
      <c r="B16" s="19"/>
      <c r="C16" s="19"/>
      <c r="D16" s="23"/>
      <c r="E16" s="28"/>
      <c r="F16" s="19"/>
      <c r="G16" s="19"/>
      <c r="H16" s="19"/>
      <c r="I16" s="19"/>
      <c r="J16" s="19"/>
      <c r="K16" s="19"/>
    </row>
    <row r="17" customFormat="false" ht="21.75" hidden="false" customHeight="true" outlineLevel="0" collapsed="false">
      <c r="A17" s="18" t="str">
        <f aca="false">IF(C17="","",COUNTA(C$7:C17))</f>
        <v/>
      </c>
      <c r="B17" s="19"/>
      <c r="C17" s="19"/>
      <c r="D17" s="23"/>
      <c r="E17" s="28"/>
      <c r="F17" s="19"/>
      <c r="G17" s="19"/>
      <c r="H17" s="19"/>
      <c r="I17" s="19"/>
      <c r="J17" s="19"/>
      <c r="K17" s="19"/>
    </row>
    <row r="18" customFormat="false" ht="21.75" hidden="false" customHeight="true" outlineLevel="0" collapsed="false">
      <c r="A18" s="18" t="str">
        <f aca="false">IF(C18="","",COUNTA(C$7:C18))</f>
        <v/>
      </c>
      <c r="B18" s="19"/>
      <c r="C18" s="19"/>
      <c r="D18" s="23"/>
      <c r="E18" s="28"/>
      <c r="F18" s="19"/>
      <c r="G18" s="19"/>
      <c r="H18" s="19"/>
      <c r="I18" s="19"/>
      <c r="J18" s="19"/>
      <c r="K18" s="19"/>
    </row>
    <row r="19" customFormat="false" ht="21.75" hidden="false" customHeight="true" outlineLevel="0" collapsed="false">
      <c r="A19" s="18" t="str">
        <f aca="false">IF(C19="","",COUNTA(C$7:C19))</f>
        <v/>
      </c>
      <c r="B19" s="19"/>
      <c r="C19" s="19"/>
      <c r="D19" s="23"/>
      <c r="E19" s="28"/>
      <c r="F19" s="19"/>
      <c r="G19" s="19"/>
      <c r="H19" s="19"/>
      <c r="I19" s="19"/>
      <c r="J19" s="19"/>
      <c r="K19" s="19"/>
    </row>
    <row r="20" customFormat="false" ht="21.75" hidden="false" customHeight="true" outlineLevel="0" collapsed="false">
      <c r="A20" s="18" t="str">
        <f aca="false">IF(C20="","",COUNTA(C$7:C20))</f>
        <v/>
      </c>
      <c r="B20" s="19"/>
      <c r="C20" s="19"/>
      <c r="D20" s="23"/>
      <c r="E20" s="28"/>
      <c r="F20" s="19"/>
      <c r="G20" s="19"/>
      <c r="H20" s="19"/>
      <c r="I20" s="19"/>
      <c r="J20" s="19"/>
      <c r="K20" s="19"/>
    </row>
    <row r="21" customFormat="false" ht="21.75" hidden="false" customHeight="true" outlineLevel="0" collapsed="false">
      <c r="A21" s="18" t="str">
        <f aca="false">IF(C21="","",COUNTA(C$7:C21))</f>
        <v/>
      </c>
      <c r="B21" s="19"/>
      <c r="C21" s="19"/>
      <c r="D21" s="23"/>
      <c r="E21" s="28"/>
      <c r="F21" s="19"/>
      <c r="G21" s="19"/>
      <c r="H21" s="19"/>
      <c r="I21" s="19"/>
      <c r="J21" s="19"/>
      <c r="K21" s="19"/>
    </row>
    <row r="22" customFormat="false" ht="21.75" hidden="false" customHeight="true" outlineLevel="0" collapsed="false">
      <c r="A22" s="18" t="str">
        <f aca="false">IF(C22="","",COUNTA(C$7:C22))</f>
        <v/>
      </c>
      <c r="B22" s="19"/>
      <c r="C22" s="19"/>
      <c r="D22" s="23"/>
      <c r="E22" s="28"/>
      <c r="F22" s="19"/>
      <c r="G22" s="19"/>
      <c r="H22" s="19"/>
      <c r="I22" s="19"/>
      <c r="J22" s="19"/>
      <c r="K22" s="19"/>
    </row>
    <row r="23" customFormat="false" ht="21.75" hidden="false" customHeight="true" outlineLevel="0" collapsed="false">
      <c r="A23" s="18" t="str">
        <f aca="false">IF(C23="","",COUNTA(C$7:C23))</f>
        <v/>
      </c>
      <c r="B23" s="19"/>
      <c r="C23" s="19"/>
      <c r="D23" s="23"/>
      <c r="E23" s="28"/>
      <c r="F23" s="19"/>
      <c r="G23" s="19"/>
      <c r="H23" s="19"/>
      <c r="I23" s="19"/>
      <c r="J23" s="19"/>
      <c r="K23" s="19"/>
    </row>
    <row r="24" customFormat="false" ht="21.75" hidden="false" customHeight="true" outlineLevel="0" collapsed="false">
      <c r="A24" s="18" t="str">
        <f aca="false">IF(C24="","",COUNTA(C$7:C24))</f>
        <v/>
      </c>
      <c r="B24" s="19"/>
      <c r="C24" s="19"/>
      <c r="D24" s="23"/>
      <c r="E24" s="28"/>
      <c r="F24" s="19"/>
      <c r="G24" s="19"/>
      <c r="H24" s="19"/>
      <c r="I24" s="19"/>
      <c r="J24" s="19"/>
      <c r="K24" s="19"/>
    </row>
    <row r="25" customFormat="false" ht="21.75" hidden="false" customHeight="true" outlineLevel="0" collapsed="false">
      <c r="A25" s="18" t="str">
        <f aca="false">IF(C25="","",COUNTA(C$7:C25))</f>
        <v/>
      </c>
      <c r="B25" s="19"/>
      <c r="C25" s="19"/>
      <c r="D25" s="23"/>
      <c r="E25" s="28"/>
      <c r="F25" s="19"/>
      <c r="G25" s="19"/>
      <c r="H25" s="19"/>
      <c r="I25" s="19"/>
      <c r="J25" s="19"/>
      <c r="K25" s="19"/>
    </row>
    <row r="26" customFormat="false" ht="21.75" hidden="false" customHeight="true" outlineLevel="0" collapsed="false">
      <c r="A26" s="18" t="str">
        <f aca="false">IF(C26="","",COUNTA(C$7:C26))</f>
        <v/>
      </c>
      <c r="B26" s="19"/>
      <c r="C26" s="19"/>
      <c r="D26" s="23"/>
      <c r="E26" s="28"/>
      <c r="F26" s="19"/>
      <c r="G26" s="19"/>
      <c r="H26" s="19"/>
      <c r="I26" s="19"/>
      <c r="J26" s="19"/>
      <c r="K26" s="19"/>
    </row>
    <row r="27" customFormat="false" ht="21.75" hidden="false" customHeight="true" outlineLevel="0" collapsed="false">
      <c r="A27" s="18" t="str">
        <f aca="false">IF(C27="","",COUNTA(C$7:C27))</f>
        <v/>
      </c>
      <c r="B27" s="19"/>
      <c r="C27" s="19"/>
      <c r="D27" s="23"/>
      <c r="E27" s="28"/>
      <c r="F27" s="19"/>
      <c r="G27" s="19"/>
      <c r="H27" s="19"/>
      <c r="I27" s="19"/>
      <c r="J27" s="19"/>
      <c r="K27" s="19"/>
    </row>
    <row r="28" customFormat="false" ht="21.75" hidden="false" customHeight="true" outlineLevel="0" collapsed="false">
      <c r="A28" s="18" t="str">
        <f aca="false">IF(C28="","",COUNTA(C$7:C28))</f>
        <v/>
      </c>
      <c r="B28" s="19"/>
      <c r="C28" s="19"/>
      <c r="D28" s="23"/>
      <c r="E28" s="28"/>
      <c r="F28" s="19"/>
      <c r="G28" s="19"/>
      <c r="H28" s="19"/>
      <c r="I28" s="19"/>
      <c r="J28" s="19"/>
      <c r="K28" s="19"/>
    </row>
    <row r="29" customFormat="false" ht="21.75" hidden="false" customHeight="true" outlineLevel="0" collapsed="false">
      <c r="A29" s="18" t="str">
        <f aca="false">IF(C29="","",COUNTA(C$7:C29))</f>
        <v/>
      </c>
      <c r="B29" s="19"/>
      <c r="C29" s="19"/>
      <c r="D29" s="23"/>
      <c r="E29" s="28"/>
      <c r="F29" s="19"/>
      <c r="G29" s="19"/>
      <c r="H29" s="19"/>
      <c r="I29" s="19"/>
      <c r="J29" s="19"/>
      <c r="K29" s="19"/>
    </row>
    <row r="30" customFormat="false" ht="21.75" hidden="false" customHeight="true" outlineLevel="0" collapsed="false">
      <c r="A30" s="18" t="str">
        <f aca="false">IF(C30="","",COUNTA(C$7:C30))</f>
        <v/>
      </c>
      <c r="B30" s="19"/>
      <c r="C30" s="19"/>
      <c r="D30" s="23"/>
      <c r="E30" s="28"/>
      <c r="F30" s="19"/>
      <c r="G30" s="19"/>
      <c r="H30" s="19"/>
      <c r="I30" s="19"/>
      <c r="J30" s="19"/>
      <c r="K30" s="19"/>
    </row>
    <row r="31" customFormat="false" ht="21.75" hidden="false" customHeight="true" outlineLevel="0" collapsed="false">
      <c r="A31" s="18" t="str">
        <f aca="false">IF(C31="","",COUNTA(C$7:C31))</f>
        <v/>
      </c>
      <c r="B31" s="19"/>
      <c r="C31" s="19"/>
      <c r="D31" s="23"/>
      <c r="E31" s="28"/>
      <c r="F31" s="19"/>
      <c r="G31" s="19"/>
      <c r="H31" s="19"/>
      <c r="I31" s="19"/>
      <c r="J31" s="19"/>
      <c r="K31" s="19"/>
    </row>
    <row r="33" customFormat="false" ht="15" hidden="false" customHeight="false" outlineLevel="0" collapsed="false">
      <c r="B33" s="12" t="s">
        <v>86</v>
      </c>
    </row>
    <row r="34" customFormat="false" ht="15" hidden="false" customHeight="false" outlineLevel="0" collapsed="false">
      <c r="B34" s="24" t="s">
        <v>87</v>
      </c>
      <c r="C34" s="29" t="n">
        <f aca="false">COUNTA(C7:C31)</f>
        <v>0</v>
      </c>
    </row>
    <row r="35" customFormat="false" ht="15" hidden="false" customHeight="false" outlineLevel="0" collapsed="false">
      <c r="B35" s="30" t="s">
        <v>88</v>
      </c>
      <c r="C35" s="29" t="n">
        <f aca="false">IF(C34&gt;=5,4,IF(C34&gt;=3,3,IF(C34&gt;=1,2,0)))</f>
        <v>0</v>
      </c>
    </row>
    <row r="36" customFormat="false" ht="15" hidden="false" customHeight="false" outlineLevel="0" collapsed="false">
      <c r="B36" s="24" t="s">
        <v>89</v>
      </c>
      <c r="C36" s="29" t="n">
        <f aca="false">SUM(E7:E31)</f>
        <v>0</v>
      </c>
    </row>
    <row r="37" customFormat="false" ht="15" hidden="false" customHeight="false" outlineLevel="0" collapsed="false">
      <c r="B37" s="30" t="s">
        <v>90</v>
      </c>
      <c r="C37" s="29" t="n">
        <f aca="false">IF(C36&gt;=15,4,IF(C36&gt;=7,2,0))</f>
        <v>0</v>
      </c>
    </row>
    <row r="38" customFormat="false" ht="15" hidden="false" customHeight="false" outlineLevel="0" collapsed="false">
      <c r="B38" s="31" t="s">
        <v>91</v>
      </c>
    </row>
  </sheetData>
  <mergeCells count="3">
    <mergeCell ref="A1:K1"/>
    <mergeCell ref="A2:K2"/>
    <mergeCell ref="A3:K3"/>
  </mergeCells>
  <dataValidations count="3">
    <dataValidation allowBlank="true" errorStyle="stop" operator="between" showDropDown="false" showErrorMessage="false" showInputMessage="false" sqref="B7:B31" type="list">
      <formula1>"참여예산주민위원회,지역회의,주민자치회 등 주민기구,사회적약자,아동·청소년,청년,일반주민,기타"</formula1>
      <formula2>0</formula2>
    </dataValidation>
    <dataValidation allowBlank="true" errorStyle="stop" operator="between" showDropDown="false" showErrorMessage="false" showInputMessage="false" sqref="F7:F31" type="list">
      <formula1>"대면,온라인,혼합"</formula1>
      <formula2>0</formula2>
    </dataValidation>
    <dataValidation allowBlank="true" errorStyle="stop" operator="between" showDropDown="false" showErrorMessage="false" showInputMessage="false" sqref="G7:G31" type="list">
      <formula1>"옥천군,충청북도,위탁기관,기타"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2026-10-27T04:12:56Z</dcterms:created>
  <dc:creator>openpyxl</dc:creator>
  <dc:description/>
  <dc:language>en-US</dc:language>
  <cp:lastModifiedBy/>
  <dcterms:modified xsi:type="dcterms:W3CDTF">2026-10-27T04:12:56Z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